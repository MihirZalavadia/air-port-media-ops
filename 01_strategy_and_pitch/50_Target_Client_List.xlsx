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 FIRST" sheetId="1" state="visible" r:id="rId3"/>
    <sheet name="1. Ad Agencies" sheetId="2" state="visible" r:id="rId4"/>
    <sheet name="2. National Brands" sheetId="3" state="visible" r:id="rId5"/>
    <sheet name="3. Regional Brands" sheetId="4" state="visible" r:id="rId6"/>
    <sheet name="4. Hospitality &amp; Travel" sheetId="5" state="visible" r:id="rId7"/>
    <sheet name="5. Edu, Health, Real Estate" sheetId="6" state="visible" r:id="rId8"/>
    <sheet name="📊 Pipeline Summary" sheetId="7" state="visible" r:id="rId9"/>
    <sheet name="Backup Pool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<sst xmlns="http://schemas.openxmlformats.org/spreadsheetml/2006/main" count="762" uniqueCount="441">
  <si>
    <t xml:space="preserve">Target Client List — Rajkot Airport Marketing</t>
  </si>
  <si>
    <t xml:space="preserve">50 prioritized B2B targets for Year 1 outreach</t>
  </si>
  <si>
    <t xml:space="preserve">HOW THIS LIST IS BUILT</t>
  </si>
  <si>
    <t xml:space="preserve">Segmentation</t>
  </si>
  <si>
    <t xml:space="preserve">5 segments × 10 targets each = 50 high-priority leads to start</t>
  </si>
  <si>
    <t xml:space="preserve">Tier</t>
  </si>
  <si>
    <t xml:space="preserve">A = top priority (highest budget potential), B = mid, C = volume play</t>
  </si>
  <si>
    <t xml:space="preserve">Source</t>
  </si>
  <si>
    <t xml:space="preserve">Public-domain research starting points — verify before contact</t>
  </si>
  <si>
    <t xml:space="preserve">THE 5 SEGMENTS</t>
  </si>
  <si>
    <t xml:space="preserve">1. Ad Agencies (Gujarat + Mumbai)</t>
  </si>
  <si>
    <t xml:space="preserve">Buy media for clients. Best LTV. Highest ticket size. — see TAB 1</t>
  </si>
  <si>
    <t xml:space="preserve">2. National Brands (NRI + Festive)</t>
  </si>
  <si>
    <t xml:space="preserve">Direct brand campaigns. Diwali, weddings, summer NRI. — see TAB 2</t>
  </si>
  <si>
    <t xml:space="preserve">3. Regional Brands (Saurashtra/Gujarat)</t>
  </si>
  <si>
    <t xml:space="preserve">Local brands going premium. Easier to close. — see TAB 3</t>
  </si>
  <si>
    <t xml:space="preserve">4. Hospitality &amp; Travel</t>
  </si>
  <si>
    <t xml:space="preserve">Hotels, tour operators, wedding venues. — see TAB 4</t>
  </si>
  <si>
    <t xml:space="preserve">5. Education, Healthcare &amp; Real Estate</t>
  </si>
  <si>
    <t xml:space="preserve">Recurring big spenders in regional markets. — see TAB 5</t>
  </si>
  <si>
    <t xml:space="preserve">HOW TO USE THIS FILE</t>
  </si>
  <si>
    <t xml:space="preserve">Step 1</t>
  </si>
  <si>
    <t xml:space="preserve">Verify each target — confirm they're active, find current marketing decision-maker</t>
  </si>
  <si>
    <t xml:space="preserve">Step 2</t>
  </si>
  <si>
    <t xml:space="preserve">Update 'Last Verified' column with date once confirmed</t>
  </si>
  <si>
    <t xml:space="preserve">Step 3</t>
  </si>
  <si>
    <t xml:space="preserve">Use the Status dropdown to track each lead through the funnel</t>
  </si>
  <si>
    <t xml:space="preserve">Step 4</t>
  </si>
  <si>
    <t xml:space="preserve">Pipeline Summary tab auto-calculates funnel metrics</t>
  </si>
  <si>
    <t xml:space="preserve">Step 5</t>
  </si>
  <si>
    <t xml:space="preserve">Once a target is closed/dead, mark it and refill that slot from Backup Pool tab</t>
  </si>
  <si>
    <t xml:space="preserve">STATUS DROPDOWN VALUES</t>
  </si>
  <si>
    <t xml:space="preserve">New</t>
  </si>
  <si>
    <t xml:space="preserve">Not yet contacted</t>
  </si>
  <si>
    <t xml:space="preserve">Verified</t>
  </si>
  <si>
    <t xml:space="preserve">Decision-maker identified, contact details confirmed</t>
  </si>
  <si>
    <t xml:space="preserve">Outreach Sent</t>
  </si>
  <si>
    <t xml:space="preserve">First touch sent (email / WhatsApp / LinkedIn)</t>
  </si>
  <si>
    <t xml:space="preserve">Replied</t>
  </si>
  <si>
    <t xml:space="preserve">Got a reply, conversation started</t>
  </si>
  <si>
    <t xml:space="preserve">Meeting Booked</t>
  </si>
  <si>
    <t xml:space="preserve">Demo or pitch call scheduled</t>
  </si>
  <si>
    <t xml:space="preserve">Proposal Sent</t>
  </si>
  <si>
    <t xml:space="preserve">Custom proposal shared</t>
  </si>
  <si>
    <t xml:space="preserve">Negotiating</t>
  </si>
  <si>
    <t xml:space="preserve">Active deal discussion</t>
  </si>
  <si>
    <t xml:space="preserve">Won</t>
  </si>
  <si>
    <t xml:space="preserve">Deal closed, money in</t>
  </si>
  <si>
    <t xml:space="preserve">Lost</t>
  </si>
  <si>
    <t xml:space="preserve">Said no, with reason logged</t>
  </si>
  <si>
    <t xml:space="preserve">Nurture</t>
  </si>
  <si>
    <t xml:space="preserve">Not now, follow up in 60-90 days</t>
  </si>
  <si>
    <t xml:space="preserve">PRIORITY ORDER FOR FIRST 30 DAYS</t>
  </si>
  <si>
    <t xml:space="preserve">Week 1-2</t>
  </si>
  <si>
    <t xml:space="preserve">Verify all 50, focus on Tier A only</t>
  </si>
  <si>
    <t xml:space="preserve">Week 3-4</t>
  </si>
  <si>
    <t xml:space="preserve">Outreach to Tier A across all 5 segments (10 targets)</t>
  </si>
  <si>
    <t xml:space="preserve">Week 5-6</t>
  </si>
  <si>
    <t xml:space="preserve">Outreach to Tier B (20 targets)</t>
  </si>
  <si>
    <t xml:space="preserve">Week 7-8</t>
  </si>
  <si>
    <t xml:space="preserve">Tier C + Backup Pool refresh</t>
  </si>
  <si>
    <t xml:space="preserve">Ad Agencies — Gujarat &amp; Mumbai</t>
  </si>
  <si>
    <t xml:space="preserve">Media buyers who place ad spend on behalf of clients. Highest LTV segment.</t>
  </si>
  <si>
    <t xml:space="preserve">#</t>
  </si>
  <si>
    <t xml:space="preserve">Company / Brand</t>
  </si>
  <si>
    <t xml:space="preserve">Why Target</t>
  </si>
  <si>
    <t xml:space="preserve">Decision-Maker Role</t>
  </si>
  <si>
    <t xml:space="preserve">Where to Find Them</t>
  </si>
  <si>
    <t xml:space="preserve">Pitch Angle</t>
  </si>
  <si>
    <t xml:space="preserve">Est. Annual Budget Tier</t>
  </si>
  <si>
    <t xml:space="preserve">Outreach Channel</t>
  </si>
  <si>
    <t xml:space="preserve">Status</t>
  </si>
  <si>
    <t xml:space="preserve">Last Verified</t>
  </si>
  <si>
    <t xml:space="preserve">Owner</t>
  </si>
  <si>
    <t xml:space="preserve">Notes / Next Action</t>
  </si>
  <si>
    <t xml:space="preserve">A</t>
  </si>
  <si>
    <t xml:space="preserve">Madison World (Mumbai)</t>
  </si>
  <si>
    <t xml:space="preserve">One of India's largest media buying networks; handles brands that target Tier-2 markets; airport OOH is in their regular plan</t>
  </si>
  <si>
    <t xml:space="preserve">Media Planner / Group Head — OOH</t>
  </si>
  <si>
    <t xml:space="preserve">LinkedIn search 'Madison Media'; madisonworld.com</t>
  </si>
  <si>
    <t xml:space="preserve">AAI-partnered exclusive inventory at Rajkot, the Saurashtra-NRI corridor airport — first-mover access to under-tapped Gujarat ad market</t>
  </si>
  <si>
    <t xml:space="preserve">Tier A — ₹10L+</t>
  </si>
  <si>
    <t xml:space="preserve">LinkedIn</t>
  </si>
  <si>
    <t xml:space="preserve">Find OOH planning lead</t>
  </si>
  <si>
    <t xml:space="preserve">Lodestar UM / IPG Mediabrands</t>
  </si>
  <si>
    <t xml:space="preserve">Major media network; clients spend on regional airport OOH for FMCG and BFSI campaigns</t>
  </si>
  <si>
    <t xml:space="preserve">Regional OOH Planner — West</t>
  </si>
  <si>
    <t xml:space="preserve">LinkedIn; lodestarum.com</t>
  </si>
  <si>
    <t xml:space="preserve">Brand-safe AAI airport, 70-80 screens, dedicated NRI Gujarati audience that BFSI and remittance brands chase</t>
  </si>
  <si>
    <t xml:space="preserve">Target West Region team</t>
  </si>
  <si>
    <t xml:space="preserve">GroupM India (Mumbai/Ahmedabad)</t>
  </si>
  <si>
    <t xml:space="preserve">Largest media buyer in India by volume; covers Times OOH alternative inventory</t>
  </si>
  <si>
    <t xml:space="preserve">Investment Director — OOH / West</t>
  </si>
  <si>
    <t xml:space="preserve">LinkedIn; groupm.com</t>
  </si>
  <si>
    <t xml:space="preserve">Underpriced Tier-2 airport with premium audience — strong CPM vs Mumbai/Delhi airports for the same NRI/business demographic</t>
  </si>
  <si>
    <t xml:space="preserve">Possible referral via TAFI</t>
  </si>
  <si>
    <t xml:space="preserve">B</t>
  </si>
  <si>
    <t xml:space="preserve">Triton Communications (Ahmedabad)</t>
  </si>
  <si>
    <t xml:space="preserve">Gujarat-headquartered ad agency, deep regional relationships, regularly buys airport OOH</t>
  </si>
  <si>
    <t xml:space="preserve">Account Director / Media Lead</t>
  </si>
  <si>
    <t xml:space="preserve">tritoncommunications.in; LinkedIn</t>
  </si>
  <si>
    <t xml:space="preserve">Local airport for local agency — strong angle on regional pride and exclusive inventory access</t>
  </si>
  <si>
    <t xml:space="preserve">Tier B — ₹3-10L</t>
  </si>
  <si>
    <t xml:space="preserve">Email</t>
  </si>
  <si>
    <t xml:space="preserve">Warm intro via Gujarat business networks</t>
  </si>
  <si>
    <t xml:space="preserve">Schbang (Mumbai)</t>
  </si>
  <si>
    <t xml:space="preserve">Digital + integrated agency growing OOH practice; clients include challenger brands</t>
  </si>
  <si>
    <t xml:space="preserve">OOH / Integrated Media Lead</t>
  </si>
  <si>
    <t xml:space="preserve">schbang.com; LinkedIn</t>
  </si>
  <si>
    <t xml:space="preserve">Newer airport asset perfect for challenger brands they handle — Instagrammable, story-driven inventory</t>
  </si>
  <si>
    <t xml:space="preserve">Pitch as content+OOH bundle</t>
  </si>
  <si>
    <t xml:space="preserve">DDB Mudra Group</t>
  </si>
  <si>
    <t xml:space="preserve">Major creative + media network with clients in BFSI, automotive, retail</t>
  </si>
  <si>
    <t xml:space="preserve">OOH Planning Lead</t>
  </si>
  <si>
    <t xml:space="preserve">ddbmudragroup.com; LinkedIn</t>
  </si>
  <si>
    <t xml:space="preserve">Reach Saurashtra business audience (jewelry, ceramics, pharma) at point of arrival/departure</t>
  </si>
  <si>
    <t xml:space="preserve">Wavemaker India</t>
  </si>
  <si>
    <t xml:space="preserve">Part of WPP/GroupM, handles big FMCG and auto budgets</t>
  </si>
  <si>
    <t xml:space="preserve">Senior Manager — Outdoor</t>
  </si>
  <si>
    <t xml:space="preserve">wavemakerglobal.com; LinkedIn</t>
  </si>
  <si>
    <t xml:space="preserve">Auto launches and FMCG seasonal pushes — 70-80 screens at Rajkot give 100% visual dominance</t>
  </si>
  <si>
    <t xml:space="preserve">C</t>
  </si>
  <si>
    <t xml:space="preserve">Ogilvy Mumbai (OOH practice)</t>
  </si>
  <si>
    <t xml:space="preserve">Premium agency, handles brand campaigns for Indian heritage and luxury brands</t>
  </si>
  <si>
    <t xml:space="preserve">OOH / Activation Lead</t>
  </si>
  <si>
    <t xml:space="preserve">ogilvy.com; LinkedIn</t>
  </si>
  <si>
    <t xml:space="preserve">Wedding-season packages and premium luxury reach for HNI Gujarati audience</t>
  </si>
  <si>
    <t xml:space="preserve">Tier C — ₹1-3L</t>
  </si>
  <si>
    <t xml:space="preserve">Posterscope India (Dentsu)</t>
  </si>
  <si>
    <t xml:space="preserve">Specialist OOH agency, owns relationships with most outdoor inventory in India</t>
  </si>
  <si>
    <t xml:space="preserve">Buying Lead — West</t>
  </si>
  <si>
    <t xml:space="preserve">posterscope.com; LinkedIn</t>
  </si>
  <si>
    <t xml:space="preserve">Be on their inventory roster — single relationship gives access to multiple buying decisions</t>
  </si>
  <si>
    <t xml:space="preserve">Long-term relationship play</t>
  </si>
  <si>
    <t xml:space="preserve">Laqshya Media Group</t>
  </si>
  <si>
    <t xml:space="preserve">OOH and airport media specialist, may treat as competitor or buyer</t>
  </si>
  <si>
    <t xml:space="preserve">Business Development</t>
  </si>
  <si>
    <t xml:space="preserve">laqshya.com</t>
  </si>
  <si>
    <t xml:space="preserve">Sub-license blank inventory to them as wholesale partner if direct sales lag</t>
  </si>
  <si>
    <t xml:space="preserve">Backup wholesale option</t>
  </si>
  <si>
    <t xml:space="preserve">National Brands — NRI, Travel, Festive Targeting</t>
  </si>
  <si>
    <t xml:space="preserve">Brands with national budgets where Saurashtra-NRI audience is a strategic priority.</t>
  </si>
  <si>
    <t xml:space="preserve">Western Union India</t>
  </si>
  <si>
    <t xml:space="preserve">Targets NRI remittance corridor; Saurashtra has massive UK/US/East Africa Gujarati diaspora</t>
  </si>
  <si>
    <t xml:space="preserve">Marketing Head — India / Brand Manager</t>
  </si>
  <si>
    <t xml:space="preserve">westernunion.com careers/contact; LinkedIn</t>
  </si>
  <si>
    <t xml:space="preserve">Direct catch of returning NRI Gujaratis at moment they're thinking about money transfer</t>
  </si>
  <si>
    <t xml:space="preserve">Focus on summer + Diwali return</t>
  </si>
  <si>
    <t xml:space="preserve">Wise (formerly TransferWise)</t>
  </si>
  <si>
    <t xml:space="preserve">Aggressive challenger to WU/MoneyGram; Indian NRI corridor is priority market</t>
  </si>
  <si>
    <t xml:space="preserve">Country Marketing Manager — India</t>
  </si>
  <si>
    <t xml:space="preserve">wise.com/careers; LinkedIn</t>
  </si>
  <si>
    <t xml:space="preserve">First-mover access to a high-NRI-density airport before competitors lock it down</t>
  </si>
  <si>
    <t xml:space="preserve">ICICI Bank — NRI Banking</t>
  </si>
  <si>
    <t xml:space="preserve">NRI Gujarati segment is highest-value account holder demographic</t>
  </si>
  <si>
    <t xml:space="preserve">AVP — NRI Marketing</t>
  </si>
  <si>
    <t xml:space="preserve">icicibank.com; LinkedIn</t>
  </si>
  <si>
    <t xml:space="preserve">Welcome-back-to-India campaign at point of arrival — emotional + functional pitch</t>
  </si>
  <si>
    <t xml:space="preserve">HDFC Bank — Premier / NRI</t>
  </si>
  <si>
    <t xml:space="preserve">Same as ICICI; major NRI banking competitor</t>
  </si>
  <si>
    <t xml:space="preserve">Marketing Lead — NRI Services</t>
  </si>
  <si>
    <t xml:space="preserve">hdfcbank.com; LinkedIn</t>
  </si>
  <si>
    <t xml:space="preserve">Premium NRI audience reach with airport credibility halo</t>
  </si>
  <si>
    <t xml:space="preserve">Indigo / Air India / Vistara (codeshares)</t>
  </si>
  <si>
    <t xml:space="preserve">Promote new routes, loyalty programs, premium cabins</t>
  </si>
  <si>
    <t xml:space="preserve">OOH Marketing Manager</t>
  </si>
  <si>
    <t xml:space="preserve">Airline corporate sites; LinkedIn</t>
  </si>
  <si>
    <t xml:space="preserve">Cross-promote routes ex-Rajkot — book OOH on the airport you fly to/from</t>
  </si>
  <si>
    <t xml:space="preserve">Tata Motors / Mahindra (Auto)</t>
  </si>
  <si>
    <t xml:space="preserve">Saurashtra is strong auto market; SUV launches target Tier-2 affluent</t>
  </si>
  <si>
    <t xml:space="preserve">Regional Marketing Head — West</t>
  </si>
  <si>
    <t xml:space="preserve">tatamotors.com; LinkedIn</t>
  </si>
  <si>
    <t xml:space="preserve">Auto launch dominance — full airport takeover packages for new SUV/EV launches</t>
  </si>
  <si>
    <t xml:space="preserve">MakeMyTrip / Booking.com</t>
  </si>
  <si>
    <t xml:space="preserve">Travel platforms target frequent fliers; airport OOH is on their plan</t>
  </si>
  <si>
    <t xml:space="preserve">OOH / Brand Lead</t>
  </si>
  <si>
    <t xml:space="preserve">makemytrip.com; booking.com careers</t>
  </si>
  <si>
    <t xml:space="preserve">Capture intent — passenger sees ad, books next trip from phone right at airport</t>
  </si>
  <si>
    <t xml:space="preserve">Amazon India / Flipkart (Festive)</t>
  </si>
  <si>
    <t xml:space="preserve">Diwali, summer, wedding-season pushes are bread and butter</t>
  </si>
  <si>
    <t xml:space="preserve">Brand Marketing — Festive</t>
  </si>
  <si>
    <t xml:space="preserve">amazon.in / flipkart.com careers</t>
  </si>
  <si>
    <t xml:space="preserve">Festive seasonal packages timed to peak NRI return window</t>
  </si>
  <si>
    <t xml:space="preserve">Seasonal only</t>
  </si>
  <si>
    <t xml:space="preserve">Reliance Jio / Airtel (Roaming)</t>
  </si>
  <si>
    <t xml:space="preserve">Roaming and welcome plans for arriving international travelers</t>
  </si>
  <si>
    <t xml:space="preserve">Marketing — Roaming/IR</t>
  </si>
  <si>
    <t xml:space="preserve">Jio/Airtel corporate sites</t>
  </si>
  <si>
    <t xml:space="preserve">Welcome SIM offers right at arrival — high conversion proximity</t>
  </si>
  <si>
    <t xml:space="preserve">OYO / Treebo (Hospitality)</t>
  </si>
  <si>
    <t xml:space="preserve">Mid-market hospitality targeting domestic + NRI travelers</t>
  </si>
  <si>
    <t xml:space="preserve">OOH Marketing</t>
  </si>
  <si>
    <t xml:space="preserve">oyorooms.com careers</t>
  </si>
  <si>
    <t xml:space="preserve">Bundle with hotel pickup partnerships — dual revenue from hotels + brand</t>
  </si>
  <si>
    <t xml:space="preserve">Regional Brands — Gujarat &amp; Saurashtra</t>
  </si>
  <si>
    <t xml:space="preserve">Local powerhouses with marketing budgets and pride in local presence. Easiest to close.</t>
  </si>
  <si>
    <t xml:space="preserve">Balaji Wafers</t>
  </si>
  <si>
    <t xml:space="preserve">Gujarat-origin national FMCG brand, regularly does outdoor in home market</t>
  </si>
  <si>
    <t xml:space="preserve">Head of Marketing</t>
  </si>
  <si>
    <t xml:space="preserve">balajiwafers.com; HQ Rajkot</t>
  </si>
  <si>
    <t xml:space="preserve">Hometown airport pride — Balaji on the wall of Rajkot's airport is a no-brainer</t>
  </si>
  <si>
    <t xml:space="preserve">In-Person</t>
  </si>
  <si>
    <t xml:space="preserve">HQ in Rajkot — direct meeting</t>
  </si>
  <si>
    <t xml:space="preserve">Real Diamond / Joyalukkas / Reliance Jewels</t>
  </si>
  <si>
    <t xml:space="preserve">Wedding season ads at airport = direct catch of NRI wedding travelers</t>
  </si>
  <si>
    <t xml:space="preserve">Regional Marketing Manager — Gujarat</t>
  </si>
  <si>
    <t xml:space="preserve">Brand sites; LinkedIn</t>
  </si>
  <si>
    <t xml:space="preserve">Wedding season + festive premium — NRIs flying in for family weddings</t>
  </si>
  <si>
    <t xml:space="preserve">Peak season Sep-Feb</t>
  </si>
  <si>
    <t xml:space="preserve">Cera Sanitaryware / Hindware (Morbi belt)</t>
  </si>
  <si>
    <t xml:space="preserve">Morbi is ceramics capital, Cera and Hindware HQ-adjacent, big OOH budgets</t>
  </si>
  <si>
    <t xml:space="preserve">Marketing Manager — West</t>
  </si>
  <si>
    <t xml:space="preserve">cera-india.com; hindwarehomes.com</t>
  </si>
  <si>
    <t xml:space="preserve">Saurashtra business traveler audience — distributors, dealers, builders flying in</t>
  </si>
  <si>
    <t xml:space="preserve">Nirma / Saraswati Industrial Syndicate</t>
  </si>
  <si>
    <t xml:space="preserve">Gujarat business legacy; corporate brand visibility plays</t>
  </si>
  <si>
    <t xml:space="preserve">Corporate Communications</t>
  </si>
  <si>
    <t xml:space="preserve">nirma.co.in</t>
  </si>
  <si>
    <t xml:space="preserve">Hometown legacy storytelling at Saurashtra's airport gateway</t>
  </si>
  <si>
    <t xml:space="preserve">Gujarat Cooperative Milk Marketing (Amul)</t>
  </si>
  <si>
    <t xml:space="preserve">National brand, Gujarat heart, regularly does seasonal/regional OOH</t>
  </si>
  <si>
    <t xml:space="preserve">Marketing — Brand</t>
  </si>
  <si>
    <t xml:space="preserve">amul.com</t>
  </si>
  <si>
    <t xml:space="preserve">Festive packages, regional pride angle, easy approval as Gujarat-first brand</t>
  </si>
  <si>
    <t xml:space="preserve">Adani Wilmar (Fortune)</t>
  </si>
  <si>
    <t xml:space="preserve">FMCG arm, Gujarat HQ, big festive ad spends</t>
  </si>
  <si>
    <t xml:space="preserve">Brand Manager</t>
  </si>
  <si>
    <t xml:space="preserve">adaniwilmar.com</t>
  </si>
  <si>
    <t xml:space="preserve">Festive pushes (Diwali oils, ghee) targeting both NRI and domestic returnees</t>
  </si>
  <si>
    <t xml:space="preserve">Torrent Pharma / Zydus Lifesciences</t>
  </si>
  <si>
    <t xml:space="preserve">Major Gujarat pharma; OOH for OTC brands and corporate visibility</t>
  </si>
  <si>
    <t xml:space="preserve">Brand Marketing</t>
  </si>
  <si>
    <t xml:space="preserve">torrentpharma.com; zyduslife.com</t>
  </si>
  <si>
    <t xml:space="preserve">OTC brand pushes + corporate visibility for B2B audience flying in</t>
  </si>
  <si>
    <t xml:space="preserve">Saffola / Marico (Gujarat retail)</t>
  </si>
  <si>
    <t xml:space="preserve">Aggressive on regional festive OOH, especially edible oils</t>
  </si>
  <si>
    <t xml:space="preserve">Regional Marketing</t>
  </si>
  <si>
    <t xml:space="preserve">marico.com</t>
  </si>
  <si>
    <t xml:space="preserve">Festive edible oil push — high relevance to Gujarati household audience</t>
  </si>
  <si>
    <t xml:space="preserve">Symphony Cooler (Ahmedabad)</t>
  </si>
  <si>
    <t xml:space="preserve">Summer category dominance, Gujarat HQ</t>
  </si>
  <si>
    <t xml:space="preserve">Marketing</t>
  </si>
  <si>
    <t xml:space="preserve">symphonylimited.com</t>
  </si>
  <si>
    <t xml:space="preserve">Summer NRI return + regional summer — perfect timing window</t>
  </si>
  <si>
    <t xml:space="preserve">Apr-Jun timing</t>
  </si>
  <si>
    <t xml:space="preserve">Havmor / Vadilal Ice Cream</t>
  </si>
  <si>
    <t xml:space="preserve">Gujarat heritage F&amp;B brands, summer + festive spends</t>
  </si>
  <si>
    <t xml:space="preserve">Marketing Manager</t>
  </si>
  <si>
    <t xml:space="preserve">havmor.com; vadilalgroup.com</t>
  </si>
  <si>
    <t xml:space="preserve">Summer festive bundle — Gujarat hometown brand visibility</t>
  </si>
  <si>
    <t xml:space="preserve">Hospitality &amp; Travel — Hotels, Tour Operators, Wedding</t>
  </si>
  <si>
    <t xml:space="preserve">Direct partnerships + marketing dollars. Strong cross-sell with meet &amp; greet services.</t>
  </si>
  <si>
    <t xml:space="preserve">The Imperial Palace Rajkot</t>
  </si>
  <si>
    <t xml:space="preserve">Premium 5★ in Rajkot, NRI wedding venue</t>
  </si>
  <si>
    <t xml:space="preserve">GM / Marketing Manager</t>
  </si>
  <si>
    <t xml:space="preserve">Direct visit; rajkotpalace.com</t>
  </si>
  <si>
    <t xml:space="preserve">Airport-to-hotel branding partnership + meet &amp; greet referral commission</t>
  </si>
  <si>
    <t xml:space="preserve">Local — Mukesh sir likely knows</t>
  </si>
  <si>
    <t xml:space="preserve">Marriott / Hyatt / Radisson Rajkot/Jamnagar</t>
  </si>
  <si>
    <t xml:space="preserve">International chains entering Saurashtra wedding market</t>
  </si>
  <si>
    <t xml:space="preserve">Director of Marketing</t>
  </si>
  <si>
    <t xml:space="preserve">Brand sites; LinkedIn for individual hotels</t>
  </si>
  <si>
    <t xml:space="preserve">NRI wedding inbound branding + airport welcome service partnership</t>
  </si>
  <si>
    <t xml:space="preserve">Inbound Tour Operators — Gujarat (Akbar, Cox &amp; Kings, SOTC)</t>
  </si>
  <si>
    <t xml:space="preserve">Sell India-luxury packages to NRIs and international tourists</t>
  </si>
  <si>
    <t xml:space="preserve">Regional Manager — West India</t>
  </si>
  <si>
    <t xml:space="preserve">Brand sites; TAFI/IATA directories</t>
  </si>
  <si>
    <t xml:space="preserve">Premium meet &amp; greet bundled into their tour packages — they earn margin</t>
  </si>
  <si>
    <t xml:space="preserve">Recurring revenue model</t>
  </si>
  <si>
    <t xml:space="preserve">Wedding Planners — Premium Gujarat (Vivaha, Shaadi Squad, regional)</t>
  </si>
  <si>
    <t xml:space="preserve">NRI Gujarati weddings = ₹2-5 crore events; airport meet &amp; greet is standard inclusion</t>
  </si>
  <si>
    <t xml:space="preserve">Founder / Operations Head</t>
  </si>
  <si>
    <t xml:space="preserve">Instagram, weddingsutra.com directories</t>
  </si>
  <si>
    <t xml:space="preserve">VIP guest meet &amp; greet packages with airport experience as premium add-on</t>
  </si>
  <si>
    <t xml:space="preserve">Peak Sep-Feb</t>
  </si>
  <si>
    <t xml:space="preserve">Statue of Unity / Gujarat Tourism</t>
  </si>
  <si>
    <t xml:space="preserve">State tourism push, federal funding available</t>
  </si>
  <si>
    <t xml:space="preserve">Tourism Marketing — GTBL</t>
  </si>
  <si>
    <t xml:space="preserve">gujarattourism.com</t>
  </si>
  <si>
    <t xml:space="preserve">Welcome-to-Gujarat campaign at airport + state tourism partnership</t>
  </si>
  <si>
    <t xml:space="preserve">Govt budget cycles</t>
  </si>
  <si>
    <t xml:space="preserve">MakeMyTrip / Yatra / Cleartrip (Travel)</t>
  </si>
  <si>
    <t xml:space="preserve">Promote tier-2 destination flights and packages</t>
  </si>
  <si>
    <t xml:space="preserve">makemytrip.com careers; LinkedIn</t>
  </si>
  <si>
    <t xml:space="preserve">Drive bookings ex-Rajkot for outbound + inbound; commission on bookings</t>
  </si>
  <si>
    <t xml:space="preserve">Lemon Tree / Ginger / Fortune Hotels</t>
  </si>
  <si>
    <t xml:space="preserve">Mid-market chains expanding in Saurashtra/Kutch</t>
  </si>
  <si>
    <t xml:space="preserve">Affordable airport branding + commission-based meet &amp; greet referrals</t>
  </si>
  <si>
    <t xml:space="preserve">Dwarka / Somnath Pilgrimage Operators</t>
  </si>
  <si>
    <t xml:space="preserve">Major religious tourism corridor; wealthy pilgrims via Rajkot airport</t>
  </si>
  <si>
    <t xml:space="preserve">Senior tour managers</t>
  </si>
  <si>
    <t xml:space="preserve">Regional travel agency directories</t>
  </si>
  <si>
    <t xml:space="preserve">Premium pilgrim meet &amp; greet packages — captive high-spend audience</t>
  </si>
  <si>
    <t xml:space="preserve">WhatsApp</t>
  </si>
  <si>
    <t xml:space="preserve">Cruise Operators (Cordelia, etc.)</t>
  </si>
  <si>
    <t xml:space="preserve">Mumbai-departure cruises, NRI customer base</t>
  </si>
  <si>
    <t xml:space="preserve">Brand sites</t>
  </si>
  <si>
    <t xml:space="preserve">Targeted reach to high-income leisure travelers</t>
  </si>
  <si>
    <t xml:space="preserve">Premium Taxi / Chauffeur Services (Savaari, BlueSmart)</t>
  </si>
  <si>
    <t xml:space="preserve">Airport pickup + premium mobility, natural cross-sell</t>
  </si>
  <si>
    <t xml:space="preserve">Partnerships Lead</t>
  </si>
  <si>
    <t xml:space="preserve">White-label airport pickup partnership + branding revenue</t>
  </si>
  <si>
    <t xml:space="preserve">Education, Healthcare &amp; Real Estate — High-Value Local</t>
  </si>
  <si>
    <t xml:space="preserve">Categories that spend heavily on regional visibility. Real-estate is a sleeper giant.</t>
  </si>
  <si>
    <t xml:space="preserve">Marwadi University / RK University Rajkot</t>
  </si>
  <si>
    <t xml:space="preserve">NRI student recruitment is key; airport visibility = parents see it</t>
  </si>
  <si>
    <t xml:space="preserve">Director — Admissions / Marketing</t>
  </si>
  <si>
    <t xml:space="preserve">marwadiuniversity.ac.in; rku.ac.in</t>
  </si>
  <si>
    <t xml:space="preserve">Catch parents flying in for admissions; year-round visibility, peak Apr-Jul</t>
  </si>
  <si>
    <t xml:space="preserve">Local — direct meeting</t>
  </si>
  <si>
    <t xml:space="preserve">Sterling Hospital Rajkot / Synergy Hospital</t>
  </si>
  <si>
    <t xml:space="preserve">Medical tourism pull, premium healthcare brands chase regional visibility</t>
  </si>
  <si>
    <t xml:space="preserve">Marketing Head</t>
  </si>
  <si>
    <t xml:space="preserve">sterlinghospitals.com; LinkedIn</t>
  </si>
  <si>
    <t xml:space="preserve">Medical tourism inbound + premium positioning for super-specialty services</t>
  </si>
  <si>
    <t xml:space="preserve">Apollo / Kokilaben / Jaslok (Mumbai/Gujarat)</t>
  </si>
  <si>
    <t xml:space="preserve">Treat Saurashtra region patients; premium medical tourism</t>
  </si>
  <si>
    <t xml:space="preserve">Regional Marketing — West</t>
  </si>
  <si>
    <t xml:space="preserve">Brand hospital sites; LinkedIn</t>
  </si>
  <si>
    <t xml:space="preserve">Capture Saurashtra patients before they default to local options</t>
  </si>
  <si>
    <t xml:space="preserve">Real Estate — Adani Realty / Godrej Properties</t>
  </si>
  <si>
    <t xml:space="preserve">Major developers with Gujarat projects; OOH is core media plan</t>
  </si>
  <si>
    <t xml:space="preserve">Regional Marketing — West Gujarat</t>
  </si>
  <si>
    <t xml:space="preserve">NRI Gujarati real estate buyer — second home / investment property pitch</t>
  </si>
  <si>
    <t xml:space="preserve">NRI is the angle</t>
  </si>
  <si>
    <t xml:space="preserve">Local Saurashtra Real Estate (Marwadi, Aagam, Jainam)</t>
  </si>
  <si>
    <t xml:space="preserve">Regional builders with strong local brand spend</t>
  </si>
  <si>
    <t xml:space="preserve">Director / Marketing</t>
  </si>
  <si>
    <t xml:space="preserve">Local builder directories; CREDAI Saurashtra</t>
  </si>
  <si>
    <t xml:space="preserve">Localized luxury real estate visibility for incoming HNIs and NRIs</t>
  </si>
  <si>
    <t xml:space="preserve">Coaching Institutes (Allen, Aakash, Resonance, Byju's)</t>
  </si>
  <si>
    <t xml:space="preserve">Saurashtra-Kutch is huge JEE/NEET market; parent + student visibility</t>
  </si>
  <si>
    <t xml:space="preserve">Admission/result-season campaigns at airport — high parent traffic</t>
  </si>
  <si>
    <t xml:space="preserve">Ahmedabad/Vadodara Premier Schools</t>
  </si>
  <si>
    <t xml:space="preserve">International schools targeting NRI return families</t>
  </si>
  <si>
    <t xml:space="preserve">Admissions Head / Marketing</t>
  </si>
  <si>
    <t xml:space="preserve">School websites</t>
  </si>
  <si>
    <t xml:space="preserve">Returning NRI parents looking for schools — direct catch at arrival</t>
  </si>
  <si>
    <t xml:space="preserve">IVF / Fertility Clinics (Indira IVF, Nova)</t>
  </si>
  <si>
    <t xml:space="preserve">Medical tourism + regional patient recruitment</t>
  </si>
  <si>
    <t xml:space="preserve">Marketing Director</t>
  </si>
  <si>
    <t xml:space="preserve">Sensitive but high-value category; airport visibility = trust signal</t>
  </si>
  <si>
    <t xml:space="preserve">Ayurveda / Wellness Centers (Kerala chains, local)</t>
  </si>
  <si>
    <t xml:space="preserve">Wellness tourism corridor</t>
  </si>
  <si>
    <t xml:space="preserve">Premium wellness inbound traveler reach</t>
  </si>
  <si>
    <t xml:space="preserve">Dental / Cosmetic Surgery Clinics</t>
  </si>
  <si>
    <t xml:space="preserve">NRI return = medical tourism + cosmetic procedures budget</t>
  </si>
  <si>
    <t xml:space="preserve">Practice Marketing Manager</t>
  </si>
  <si>
    <t xml:space="preserve">Local listings; Instagram</t>
  </si>
  <si>
    <t xml:space="preserve">Capture NRI return medical tourism market</t>
  </si>
  <si>
    <t xml:space="preserve">Pipeline Summary (Auto-calculated)</t>
  </si>
  <si>
    <t xml:space="preserve">Updates automatically as you change Status values in the segment tabs</t>
  </si>
  <si>
    <t xml:space="preserve">Ad Agencies</t>
  </si>
  <si>
    <t xml:space="preserve">National Brands</t>
  </si>
  <si>
    <t xml:space="preserve">Regional Brands</t>
  </si>
  <si>
    <t xml:space="preserve">Hospitality &amp; Travel</t>
  </si>
  <si>
    <t xml:space="preserve">Edu/Health/Real Estate</t>
  </si>
  <si>
    <t xml:space="preserve">TOTAL</t>
  </si>
  <si>
    <t xml:space="preserve">FUNNEL INSIGHTS</t>
  </si>
  <si>
    <t xml:space="preserve">Total Targets in System</t>
  </si>
  <si>
    <t xml:space="preserve">Not Yet Contacted</t>
  </si>
  <si>
    <t xml:space="preserve">Active Conversations (Replied + Meeting + Proposal + Nego)</t>
  </si>
  <si>
    <t xml:space="preserve">Closed Won</t>
  </si>
  <si>
    <t xml:space="preserve">Closed Lost</t>
  </si>
  <si>
    <t xml:space="preserve">Reply Rate (vs Outreach Sent)</t>
  </si>
  <si>
    <t xml:space="preserve">Win Rate (Won vs Won+Lost)</t>
  </si>
  <si>
    <t xml:space="preserve">Backup Pool — Refill Slots as Targets Close/Die</t>
  </si>
  <si>
    <t xml:space="preserve">30 additional verified-direction targets to draw from when primary list slots open up.</t>
  </si>
  <si>
    <t xml:space="preserve">Segment</t>
  </si>
  <si>
    <t xml:space="preserve">Why Worth Pursuing</t>
  </si>
  <si>
    <t xml:space="preserve">Notes</t>
  </si>
  <si>
    <t xml:space="preserve">Ad Agency</t>
  </si>
  <si>
    <t xml:space="preserve">Initiative Media (IPG)</t>
  </si>
  <si>
    <t xml:space="preserve">Major media network, OOH practice</t>
  </si>
  <si>
    <t xml:space="preserve">Mindshare India</t>
  </si>
  <si>
    <t xml:space="preserve">WPP/GroupM, big budgets</t>
  </si>
  <si>
    <t xml:space="preserve">Havas Media India</t>
  </si>
  <si>
    <t xml:space="preserve">Growing OOH practice</t>
  </si>
  <si>
    <t xml:space="preserve">Carat India</t>
  </si>
  <si>
    <t xml:space="preserve">Dentsu media network</t>
  </si>
  <si>
    <t xml:space="preserve">Milestone Brandcom (Mumbai)</t>
  </si>
  <si>
    <t xml:space="preserve">Specialist OOH agency</t>
  </si>
  <si>
    <t xml:space="preserve">National Brand</t>
  </si>
  <si>
    <t xml:space="preserve">MoneyGram India</t>
  </si>
  <si>
    <t xml:space="preserve">NRI remittance — same play as Western Union</t>
  </si>
  <si>
    <t xml:space="preserve">Remitly / Xoom (PayPal)</t>
  </si>
  <si>
    <t xml:space="preserve">NRI remittance challengers</t>
  </si>
  <si>
    <t xml:space="preserve">SBI NRI Services</t>
  </si>
  <si>
    <t xml:space="preserve">Massive NRI customer base</t>
  </si>
  <si>
    <t xml:space="preserve">Axis Bank Burgundy / Privée</t>
  </si>
  <si>
    <t xml:space="preserve">Premium banking for HNIs</t>
  </si>
  <si>
    <t xml:space="preserve">Tanishq / Kalyan Jewellers</t>
  </si>
  <si>
    <t xml:space="preserve">Wedding + festive jewelry</t>
  </si>
  <si>
    <t xml:space="preserve">Could move to primary</t>
  </si>
  <si>
    <t xml:space="preserve">Asian Paints / Berger (Festive)</t>
  </si>
  <si>
    <t xml:space="preserve">Festive home renovation push</t>
  </si>
  <si>
    <t xml:space="preserve">ITC Hotels / Welcomgroup</t>
  </si>
  <si>
    <t xml:space="preserve">Premium domestic hospitality</t>
  </si>
  <si>
    <t xml:space="preserve">Regional</t>
  </si>
  <si>
    <t xml:space="preserve">Ajanta-Orpat (Morbi clocks/electricals)</t>
  </si>
  <si>
    <t xml:space="preserve">Local industry, regional pride angle</t>
  </si>
  <si>
    <t xml:space="preserve">Astral Pipes (Ahmedabad)</t>
  </si>
  <si>
    <t xml:space="preserve">Big Gujarat brand, plumbing + adhesives</t>
  </si>
  <si>
    <t xml:space="preserve">Suzlon Energy (Pune/Gujarat)</t>
  </si>
  <si>
    <t xml:space="preserve">Wind energy; corporate visibility play</t>
  </si>
  <si>
    <t xml:space="preserve">Patel Group / Kalupur Bank</t>
  </si>
  <si>
    <t xml:space="preserve">Local financial brands</t>
  </si>
  <si>
    <t xml:space="preserve">Gokul / Madhur Industries</t>
  </si>
  <si>
    <t xml:space="preserve">Edible oils, Gujarat heritage</t>
  </si>
  <si>
    <t xml:space="preserve">Hospitality</t>
  </si>
  <si>
    <t xml:space="preserve">Le Meridien / ITC Narmada</t>
  </si>
  <si>
    <t xml:space="preserve">Premium chains in Ahmedabad/Vadodara</t>
  </si>
  <si>
    <t xml:space="preserve">Thomas Cook India</t>
  </si>
  <si>
    <t xml:space="preserve">Inbound + outbound packages</t>
  </si>
  <si>
    <t xml:space="preserve">Veena World / Kesari Tours</t>
  </si>
  <si>
    <t xml:space="preserve">Indian-origin tour operators</t>
  </si>
  <si>
    <t xml:space="preserve">Airbnb India (Premium Plus)</t>
  </si>
  <si>
    <t xml:space="preserve">Targeting high-end Indian leisure travel</t>
  </si>
  <si>
    <t xml:space="preserve">Healthcare</t>
  </si>
  <si>
    <t xml:space="preserve">Sankara Eye / Aravind</t>
  </si>
  <si>
    <t xml:space="preserve">Medical tourism, cataract specialty</t>
  </si>
  <si>
    <t xml:space="preserve">Manipal Hospitals</t>
  </si>
  <si>
    <t xml:space="preserve">Premium chain expanding in Gujarat</t>
  </si>
  <si>
    <t xml:space="preserve">Practo / Tata 1mg</t>
  </si>
  <si>
    <t xml:space="preserve">Healthcare digital platforms</t>
  </si>
  <si>
    <t xml:space="preserve">Education</t>
  </si>
  <si>
    <t xml:space="preserve">BITS Pilani / IIM Ahmedabad</t>
  </si>
  <si>
    <t xml:space="preserve">Premium education brands</t>
  </si>
  <si>
    <t xml:space="preserve">B-school exec MBA targeting</t>
  </si>
  <si>
    <t xml:space="preserve">NIIT / Aptech</t>
  </si>
  <si>
    <t xml:space="preserve">Tech education, regional targeting</t>
  </si>
  <si>
    <t xml:space="preserve">Real Estate</t>
  </si>
  <si>
    <t xml:space="preserve">DLF / Brigade Group</t>
  </si>
  <si>
    <t xml:space="preserve">National developers with Gujarat plays</t>
  </si>
  <si>
    <t xml:space="preserve">Sobha / Prestige</t>
  </si>
  <si>
    <t xml:space="preserve">Premium developers</t>
  </si>
  <si>
    <t xml:space="preserve">Auto</t>
  </si>
  <si>
    <t xml:space="preserve">Maruti / Hyundai (Regional)</t>
  </si>
  <si>
    <t xml:space="preserve">Auto launches, regional targeting</t>
  </si>
  <si>
    <t xml:space="preserve">TVS / Bajaj Auto</t>
  </si>
  <si>
    <t xml:space="preserve">Two-wheeler regional pushes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</si>
</sst>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8B4513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b val="true"/>
      <sz val="10"/>
      <color rgb="FF555555"/>
      <name val="Arial"/>
      <family val="0"/>
      <charset val="1"/>
    </font>
    <font>
      <b val="true"/>
      <sz val="11"/>
      <color rgb="FF1F3A5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4F1E8"/>
        <bgColor rgb="FFF0F0F0"/>
      </patternFill>
    </fill>
    <fill>
      <patternFill patternType="solid">
        <fgColor rgb="FF1F3A5F"/>
        <bgColor rgb="FF333333"/>
      </patternFill>
    </fill>
    <fill>
      <patternFill patternType="solid">
        <fgColor rgb="FFFFE5B4"/>
        <bgColor rgb="FFF4F1E8"/>
      </patternFill>
    </fill>
    <fill>
      <patternFill patternType="solid">
        <fgColor rgb="FFFAFAFA"/>
        <bgColor rgb="FFFFFFFF"/>
      </patternFill>
    </fill>
    <fill>
      <patternFill patternType="solid">
        <fgColor rgb="FFE8F0F7"/>
        <bgColor rgb="FFF0F0F0"/>
      </patternFill>
    </fill>
    <fill>
      <patternFill patternType="solid">
        <fgColor rgb="FFF0F0F0"/>
        <bgColor rgb="FFF4F1E8"/>
      </patternFill>
    </fill>
    <fill>
      <patternFill patternType="solid">
        <fgColor rgb="FFC9A227"/>
        <bgColor rgb="FF99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4F1E8"/>
      <rgbColor rgb="FFE8F0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0F0"/>
      <rgbColor rgb="FFFAFAFA"/>
      <rgbColor rgb="FFFFFF99"/>
      <rgbColor rgb="FF99CCFF"/>
      <rgbColor rgb="FFFF99CC"/>
      <rgbColor rgb="FFCC99FF"/>
      <rgbColor rgb="FFFFE5B4"/>
      <rgbColor rgb="FF3366FF"/>
      <rgbColor rgb="FF33CCCC"/>
      <rgbColor rgb="FF99CC00"/>
      <rgbColor rgb="FFFFCC00"/>
      <rgbColor rgb="FFC9A227"/>
      <rgbColor rgb="FFFF6600"/>
      <rgbColor rgb="FF555555"/>
      <rgbColor rgb="FF969696"/>
      <rgbColor rgb="FF1F3A5F"/>
      <rgbColor rgb="FF339966"/>
      <rgbColor rgb="FF003300"/>
      <rgbColor rgb="FF333300"/>
      <rgbColor rgb="FF8B4513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6" min="2" style="0" width="15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4" t="s">
        <v>3</v>
      </c>
      <c r="B5" s="5" t="s">
        <v>4</v>
      </c>
      <c r="C5" s="5"/>
      <c r="D5" s="5"/>
      <c r="E5" s="5"/>
      <c r="F5" s="5"/>
    </row>
    <row r="6" customFormat="false" ht="15" hidden="false" customHeight="false" outlineLevel="0" collapsed="false">
      <c r="A6" s="4" t="s">
        <v>5</v>
      </c>
      <c r="B6" s="5" t="s">
        <v>6</v>
      </c>
      <c r="C6" s="5"/>
      <c r="D6" s="5"/>
      <c r="E6" s="5"/>
      <c r="F6" s="5"/>
    </row>
    <row r="7" customFormat="false" ht="15" hidden="false" customHeight="false" outlineLevel="0" collapsed="false">
      <c r="A7" s="4" t="s">
        <v>7</v>
      </c>
      <c r="B7" s="5" t="s">
        <v>8</v>
      </c>
      <c r="C7" s="5"/>
      <c r="D7" s="5"/>
      <c r="E7" s="5"/>
      <c r="F7" s="5"/>
    </row>
    <row r="9" customFormat="false" ht="15" hidden="false" customHeight="false" outlineLevel="0" collapsed="false">
      <c r="A9" s="3" t="s">
        <v>9</v>
      </c>
      <c r="B9" s="3"/>
      <c r="C9" s="3"/>
      <c r="D9" s="3"/>
      <c r="E9" s="3"/>
      <c r="F9" s="3"/>
    </row>
    <row r="10" customFormat="false" ht="15" hidden="false" customHeight="false" outlineLevel="0" collapsed="false">
      <c r="A10" s="4" t="s">
        <v>10</v>
      </c>
      <c r="B10" s="5" t="s">
        <v>11</v>
      </c>
      <c r="C10" s="5"/>
      <c r="D10" s="5"/>
      <c r="E10" s="5"/>
      <c r="F10" s="5"/>
    </row>
    <row r="11" customFormat="false" ht="15" hidden="false" customHeight="false" outlineLevel="0" collapsed="false">
      <c r="A11" s="4" t="s">
        <v>12</v>
      </c>
      <c r="B11" s="5" t="s">
        <v>13</v>
      </c>
      <c r="C11" s="5"/>
      <c r="D11" s="5"/>
      <c r="E11" s="5"/>
      <c r="F11" s="5"/>
    </row>
    <row r="12" customFormat="false" ht="15" hidden="false" customHeight="false" outlineLevel="0" collapsed="false">
      <c r="A12" s="4" t="s">
        <v>14</v>
      </c>
      <c r="B12" s="5" t="s">
        <v>15</v>
      </c>
      <c r="C12" s="5"/>
      <c r="D12" s="5"/>
      <c r="E12" s="5"/>
      <c r="F12" s="5"/>
    </row>
    <row r="13" customFormat="false" ht="15" hidden="false" customHeight="false" outlineLevel="0" collapsed="false">
      <c r="A13" s="4" t="s">
        <v>16</v>
      </c>
      <c r="B13" s="5" t="s">
        <v>17</v>
      </c>
      <c r="C13" s="5"/>
      <c r="D13" s="5"/>
      <c r="E13" s="5"/>
      <c r="F13" s="5"/>
    </row>
    <row r="14" customFormat="false" ht="15" hidden="false" customHeight="false" outlineLevel="0" collapsed="false">
      <c r="A14" s="4" t="s">
        <v>18</v>
      </c>
      <c r="B14" s="5" t="s">
        <v>19</v>
      </c>
      <c r="C14" s="5"/>
      <c r="D14" s="5"/>
      <c r="E14" s="5"/>
      <c r="F14" s="5"/>
    </row>
    <row r="16" customFormat="false" ht="15" hidden="false" customHeight="false" outlineLevel="0" collapsed="false">
      <c r="A16" s="3" t="s">
        <v>20</v>
      </c>
      <c r="B16" s="3"/>
      <c r="C16" s="3"/>
      <c r="D16" s="3"/>
      <c r="E16" s="3"/>
      <c r="F16" s="3"/>
    </row>
    <row r="17" customFormat="false" ht="15" hidden="false" customHeight="false" outlineLevel="0" collapsed="false">
      <c r="A17" s="4" t="s">
        <v>21</v>
      </c>
      <c r="B17" s="5" t="s">
        <v>22</v>
      </c>
      <c r="C17" s="5"/>
      <c r="D17" s="5"/>
      <c r="E17" s="5"/>
      <c r="F17" s="5"/>
    </row>
    <row r="18" customFormat="false" ht="15" hidden="false" customHeight="false" outlineLevel="0" collapsed="false">
      <c r="A18" s="4" t="s">
        <v>23</v>
      </c>
      <c r="B18" s="5" t="s">
        <v>24</v>
      </c>
      <c r="C18" s="5"/>
      <c r="D18" s="5"/>
      <c r="E18" s="5"/>
      <c r="F18" s="5"/>
    </row>
    <row r="19" customFormat="false" ht="15" hidden="false" customHeight="false" outlineLevel="0" collapsed="false">
      <c r="A19" s="4" t="s">
        <v>25</v>
      </c>
      <c r="B19" s="5" t="s">
        <v>26</v>
      </c>
      <c r="C19" s="5"/>
      <c r="D19" s="5"/>
      <c r="E19" s="5"/>
      <c r="F19" s="5"/>
    </row>
    <row r="20" customFormat="false" ht="15" hidden="false" customHeight="false" outlineLevel="0" collapsed="false">
      <c r="A20" s="4" t="s">
        <v>27</v>
      </c>
      <c r="B20" s="5" t="s">
        <v>28</v>
      </c>
      <c r="C20" s="5"/>
      <c r="D20" s="5"/>
      <c r="E20" s="5"/>
      <c r="F20" s="5"/>
    </row>
    <row r="21" customFormat="false" ht="15" hidden="false" customHeight="false" outlineLevel="0" collapsed="false">
      <c r="A21" s="4" t="s">
        <v>29</v>
      </c>
      <c r="B21" s="5" t="s">
        <v>30</v>
      </c>
      <c r="C21" s="5"/>
      <c r="D21" s="5"/>
      <c r="E21" s="5"/>
      <c r="F21" s="5"/>
    </row>
    <row r="23" customFormat="false" ht="15" hidden="false" customHeight="false" outlineLevel="0" collapsed="false">
      <c r="A23" s="3" t="s">
        <v>31</v>
      </c>
      <c r="B23" s="3"/>
      <c r="C23" s="3"/>
      <c r="D23" s="3"/>
      <c r="E23" s="3"/>
      <c r="F23" s="3"/>
    </row>
    <row r="24" customFormat="false" ht="15" hidden="false" customHeight="false" outlineLevel="0" collapsed="false">
      <c r="A24" s="4" t="s">
        <v>32</v>
      </c>
      <c r="B24" s="5" t="s">
        <v>33</v>
      </c>
      <c r="C24" s="5"/>
      <c r="D24" s="5"/>
      <c r="E24" s="5"/>
      <c r="F24" s="5"/>
    </row>
    <row r="25" customFormat="false" ht="15" hidden="false" customHeight="false" outlineLevel="0" collapsed="false">
      <c r="A25" s="4" t="s">
        <v>34</v>
      </c>
      <c r="B25" s="5" t="s">
        <v>35</v>
      </c>
      <c r="C25" s="5"/>
      <c r="D25" s="5"/>
      <c r="E25" s="5"/>
      <c r="F25" s="5"/>
    </row>
    <row r="26" customFormat="false" ht="15" hidden="false" customHeight="false" outlineLevel="0" collapsed="false">
      <c r="A26" s="4" t="s">
        <v>36</v>
      </c>
      <c r="B26" s="5" t="s">
        <v>37</v>
      </c>
      <c r="C26" s="5"/>
      <c r="D26" s="5"/>
      <c r="E26" s="5"/>
      <c r="F26" s="5"/>
    </row>
    <row r="27" customFormat="false" ht="15" hidden="false" customHeight="false" outlineLevel="0" collapsed="false">
      <c r="A27" s="4" t="s">
        <v>38</v>
      </c>
      <c r="B27" s="5" t="s">
        <v>39</v>
      </c>
      <c r="C27" s="5"/>
      <c r="D27" s="5"/>
      <c r="E27" s="5"/>
      <c r="F27" s="5"/>
    </row>
    <row r="28" customFormat="false" ht="15" hidden="false" customHeight="false" outlineLevel="0" collapsed="false">
      <c r="A28" s="4" t="s">
        <v>40</v>
      </c>
      <c r="B28" s="5" t="s">
        <v>41</v>
      </c>
      <c r="C28" s="5"/>
      <c r="D28" s="5"/>
      <c r="E28" s="5"/>
      <c r="F28" s="5"/>
    </row>
    <row r="29" customFormat="false" ht="15" hidden="false" customHeight="false" outlineLevel="0" collapsed="false">
      <c r="A29" s="4" t="s">
        <v>42</v>
      </c>
      <c r="B29" s="5" t="s">
        <v>43</v>
      </c>
      <c r="C29" s="5"/>
      <c r="D29" s="5"/>
      <c r="E29" s="5"/>
      <c r="F29" s="5"/>
    </row>
    <row r="30" customFormat="false" ht="15" hidden="false" customHeight="false" outlineLevel="0" collapsed="false">
      <c r="A30" s="4" t="s">
        <v>44</v>
      </c>
      <c r="B30" s="5" t="s">
        <v>45</v>
      </c>
      <c r="C30" s="5"/>
      <c r="D30" s="5"/>
      <c r="E30" s="5"/>
      <c r="F30" s="5"/>
    </row>
    <row r="31" customFormat="false" ht="15" hidden="false" customHeight="false" outlineLevel="0" collapsed="false">
      <c r="A31" s="4" t="s">
        <v>46</v>
      </c>
      <c r="B31" s="5" t="s">
        <v>47</v>
      </c>
      <c r="C31" s="5"/>
      <c r="D31" s="5"/>
      <c r="E31" s="5"/>
      <c r="F31" s="5"/>
    </row>
    <row r="32" customFormat="false" ht="15" hidden="false" customHeight="false" outlineLevel="0" collapsed="false">
      <c r="A32" s="4" t="s">
        <v>48</v>
      </c>
      <c r="B32" s="5" t="s">
        <v>49</v>
      </c>
      <c r="C32" s="5"/>
      <c r="D32" s="5"/>
      <c r="E32" s="5"/>
      <c r="F32" s="5"/>
    </row>
    <row r="33" customFormat="false" ht="15" hidden="false" customHeight="false" outlineLevel="0" collapsed="false">
      <c r="A33" s="4" t="s">
        <v>50</v>
      </c>
      <c r="B33" s="5" t="s">
        <v>51</v>
      </c>
      <c r="C33" s="5"/>
      <c r="D33" s="5"/>
      <c r="E33" s="5"/>
      <c r="F33" s="5"/>
    </row>
    <row r="35" customFormat="false" ht="15" hidden="false" customHeight="false" outlineLevel="0" collapsed="false">
      <c r="A35" s="3" t="s">
        <v>52</v>
      </c>
      <c r="B35" s="3"/>
      <c r="C35" s="3"/>
      <c r="D35" s="3"/>
      <c r="E35" s="3"/>
      <c r="F35" s="3"/>
    </row>
    <row r="36" customFormat="false" ht="15" hidden="false" customHeight="false" outlineLevel="0" collapsed="false">
      <c r="A36" s="4" t="s">
        <v>53</v>
      </c>
      <c r="B36" s="5" t="s">
        <v>54</v>
      </c>
      <c r="C36" s="5"/>
      <c r="D36" s="5"/>
      <c r="E36" s="5"/>
      <c r="F36" s="5"/>
    </row>
    <row r="37" customFormat="false" ht="15" hidden="false" customHeight="false" outlineLevel="0" collapsed="false">
      <c r="A37" s="4" t="s">
        <v>55</v>
      </c>
      <c r="B37" s="5" t="s">
        <v>56</v>
      </c>
      <c r="C37" s="5"/>
      <c r="D37" s="5"/>
      <c r="E37" s="5"/>
      <c r="F37" s="5"/>
    </row>
    <row r="38" customFormat="false" ht="15" hidden="false" customHeight="false" outlineLevel="0" collapsed="false">
      <c r="A38" s="4" t="s">
        <v>57</v>
      </c>
      <c r="B38" s="5" t="s">
        <v>58</v>
      </c>
      <c r="C38" s="5"/>
      <c r="D38" s="5"/>
      <c r="E38" s="5"/>
      <c r="F38" s="5"/>
    </row>
    <row r="39" customFormat="false" ht="15" hidden="false" customHeight="false" outlineLevel="0" collapsed="false">
      <c r="A39" s="4" t="s">
        <v>59</v>
      </c>
      <c r="B39" s="5" t="s">
        <v>60</v>
      </c>
      <c r="C39" s="5"/>
      <c r="D39" s="5"/>
      <c r="E39" s="5"/>
      <c r="F39" s="5"/>
    </row>
  </sheetData>
  <mergeCells count="34">
    <mergeCell ref="A1:F1"/>
    <mergeCell ref="A2:F2"/>
    <mergeCell ref="A4:F4"/>
    <mergeCell ref="B5:F5"/>
    <mergeCell ref="B6:F6"/>
    <mergeCell ref="B7:F7"/>
    <mergeCell ref="A9:F9"/>
    <mergeCell ref="B10:F10"/>
    <mergeCell ref="B11:F11"/>
    <mergeCell ref="B12:F12"/>
    <mergeCell ref="B13:F13"/>
    <mergeCell ref="B14:F14"/>
    <mergeCell ref="A16:F16"/>
    <mergeCell ref="B17:F17"/>
    <mergeCell ref="B18:F18"/>
    <mergeCell ref="B19:F19"/>
    <mergeCell ref="B20:F20"/>
    <mergeCell ref="B21:F21"/>
    <mergeCell ref="A23:F23"/>
    <mergeCell ref="B24:F24"/>
    <mergeCell ref="B25:F25"/>
    <mergeCell ref="B26:F26"/>
    <mergeCell ref="B27:F27"/>
    <mergeCell ref="B28:F28"/>
    <mergeCell ref="B29:F29"/>
    <mergeCell ref="B30:F30"/>
    <mergeCell ref="B31:F31"/>
    <mergeCell ref="B32:F32"/>
    <mergeCell ref="B33:F33"/>
    <mergeCell ref="A35:F35"/>
    <mergeCell ref="B36:F36"/>
    <mergeCell ref="B37:F37"/>
    <mergeCell ref="B38:F38"/>
    <mergeCell ref="B39:F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6" min="6" style="0" width="26"/>
    <col collapsed="false" customWidth="true" hidden="false" outlineLevel="0" max="7" min="7" style="0" width="32"/>
    <col collapsed="false" customWidth="true" hidden="false" outlineLevel="0" max="8" min="8" style="0" width="18"/>
    <col collapsed="false" customWidth="true" hidden="false" outlineLevel="0" max="10" min="9" style="0" width="16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30"/>
  </cols>
  <sheetData>
    <row r="1" customFormat="false" ht="19.7" hidden="false" customHeight="false" outlineLevel="0" collapsed="false">
      <c r="A1" s="1" t="s">
        <v>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62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31.5" hidden="false" customHeight="true" outlineLevel="0" collapsed="false">
      <c r="A4" s="6" t="s">
        <v>63</v>
      </c>
      <c r="B4" s="6" t="s">
        <v>5</v>
      </c>
      <c r="C4" s="6" t="s">
        <v>64</v>
      </c>
      <c r="D4" s="6" t="s">
        <v>65</v>
      </c>
      <c r="E4" s="6" t="s">
        <v>66</v>
      </c>
      <c r="F4" s="6" t="s">
        <v>67</v>
      </c>
      <c r="G4" s="6" t="s">
        <v>68</v>
      </c>
      <c r="H4" s="6" t="s">
        <v>69</v>
      </c>
      <c r="I4" s="6" t="s">
        <v>70</v>
      </c>
      <c r="J4" s="6" t="s">
        <v>71</v>
      </c>
      <c r="K4" s="6" t="s">
        <v>72</v>
      </c>
      <c r="L4" s="6" t="s">
        <v>73</v>
      </c>
      <c r="M4" s="6" t="s">
        <v>74</v>
      </c>
    </row>
    <row r="5" customFormat="false" ht="60" hidden="false" customHeight="true" outlineLevel="0" collapsed="false">
      <c r="A5" s="7" t="n">
        <v>1</v>
      </c>
      <c r="B5" s="8" t="s">
        <v>75</v>
      </c>
      <c r="C5" s="9" t="s">
        <v>76</v>
      </c>
      <c r="D5" s="9" t="s">
        <v>77</v>
      </c>
      <c r="E5" s="9" t="s">
        <v>78</v>
      </c>
      <c r="F5" s="9" t="s">
        <v>79</v>
      </c>
      <c r="G5" s="9" t="s">
        <v>80</v>
      </c>
      <c r="H5" s="9" t="s">
        <v>81</v>
      </c>
      <c r="I5" s="9" t="s">
        <v>82</v>
      </c>
      <c r="J5" s="9" t="s">
        <v>32</v>
      </c>
      <c r="K5" s="9"/>
      <c r="L5" s="9"/>
      <c r="M5" s="9" t="s">
        <v>83</v>
      </c>
    </row>
    <row r="6" customFormat="false" ht="60" hidden="false" customHeight="true" outlineLevel="0" collapsed="false">
      <c r="A6" s="10" t="n">
        <v>2</v>
      </c>
      <c r="B6" s="8" t="s">
        <v>75</v>
      </c>
      <c r="C6" s="11" t="s">
        <v>84</v>
      </c>
      <c r="D6" s="11" t="s">
        <v>85</v>
      </c>
      <c r="E6" s="11" t="s">
        <v>86</v>
      </c>
      <c r="F6" s="11" t="s">
        <v>87</v>
      </c>
      <c r="G6" s="11" t="s">
        <v>88</v>
      </c>
      <c r="H6" s="11" t="s">
        <v>81</v>
      </c>
      <c r="I6" s="11" t="s">
        <v>82</v>
      </c>
      <c r="J6" s="11" t="s">
        <v>32</v>
      </c>
      <c r="K6" s="11"/>
      <c r="L6" s="11"/>
      <c r="M6" s="11" t="s">
        <v>89</v>
      </c>
    </row>
    <row r="7" customFormat="false" ht="60" hidden="false" customHeight="true" outlineLevel="0" collapsed="false">
      <c r="A7" s="7" t="n">
        <v>3</v>
      </c>
      <c r="B7" s="8" t="s">
        <v>75</v>
      </c>
      <c r="C7" s="9" t="s">
        <v>90</v>
      </c>
      <c r="D7" s="9" t="s">
        <v>91</v>
      </c>
      <c r="E7" s="9" t="s">
        <v>92</v>
      </c>
      <c r="F7" s="9" t="s">
        <v>93</v>
      </c>
      <c r="G7" s="9" t="s">
        <v>94</v>
      </c>
      <c r="H7" s="9" t="s">
        <v>81</v>
      </c>
      <c r="I7" s="9" t="s">
        <v>82</v>
      </c>
      <c r="J7" s="9" t="s">
        <v>32</v>
      </c>
      <c r="K7" s="9"/>
      <c r="L7" s="9"/>
      <c r="M7" s="9" t="s">
        <v>95</v>
      </c>
    </row>
    <row r="8" customFormat="false" ht="60" hidden="false" customHeight="true" outlineLevel="0" collapsed="false">
      <c r="A8" s="10" t="n">
        <v>4</v>
      </c>
      <c r="B8" s="12" t="s">
        <v>96</v>
      </c>
      <c r="C8" s="11" t="s">
        <v>97</v>
      </c>
      <c r="D8" s="11" t="s">
        <v>98</v>
      </c>
      <c r="E8" s="11" t="s">
        <v>99</v>
      </c>
      <c r="F8" s="11" t="s">
        <v>100</v>
      </c>
      <c r="G8" s="11" t="s">
        <v>101</v>
      </c>
      <c r="H8" s="11" t="s">
        <v>102</v>
      </c>
      <c r="I8" s="11" t="s">
        <v>103</v>
      </c>
      <c r="J8" s="11" t="s">
        <v>32</v>
      </c>
      <c r="K8" s="11"/>
      <c r="L8" s="11"/>
      <c r="M8" s="11" t="s">
        <v>104</v>
      </c>
    </row>
    <row r="9" customFormat="false" ht="60" hidden="false" customHeight="true" outlineLevel="0" collapsed="false">
      <c r="A9" s="7" t="n">
        <v>5</v>
      </c>
      <c r="B9" s="12" t="s">
        <v>96</v>
      </c>
      <c r="C9" s="9" t="s">
        <v>105</v>
      </c>
      <c r="D9" s="9" t="s">
        <v>106</v>
      </c>
      <c r="E9" s="9" t="s">
        <v>107</v>
      </c>
      <c r="F9" s="9" t="s">
        <v>108</v>
      </c>
      <c r="G9" s="9" t="s">
        <v>109</v>
      </c>
      <c r="H9" s="9" t="s">
        <v>102</v>
      </c>
      <c r="I9" s="9" t="s">
        <v>82</v>
      </c>
      <c r="J9" s="9" t="s">
        <v>32</v>
      </c>
      <c r="K9" s="9"/>
      <c r="L9" s="9"/>
      <c r="M9" s="9" t="s">
        <v>110</v>
      </c>
    </row>
    <row r="10" customFormat="false" ht="60" hidden="false" customHeight="true" outlineLevel="0" collapsed="false">
      <c r="A10" s="10" t="n">
        <v>6</v>
      </c>
      <c r="B10" s="12" t="s">
        <v>96</v>
      </c>
      <c r="C10" s="11" t="s">
        <v>111</v>
      </c>
      <c r="D10" s="11" t="s">
        <v>112</v>
      </c>
      <c r="E10" s="11" t="s">
        <v>113</v>
      </c>
      <c r="F10" s="11" t="s">
        <v>114</v>
      </c>
      <c r="G10" s="11" t="s">
        <v>115</v>
      </c>
      <c r="H10" s="11" t="s">
        <v>102</v>
      </c>
      <c r="I10" s="11" t="s">
        <v>82</v>
      </c>
      <c r="J10" s="11" t="s">
        <v>32</v>
      </c>
      <c r="K10" s="11"/>
      <c r="L10" s="11"/>
      <c r="M10" s="11"/>
    </row>
    <row r="11" customFormat="false" ht="60" hidden="false" customHeight="true" outlineLevel="0" collapsed="false">
      <c r="A11" s="7" t="n">
        <v>7</v>
      </c>
      <c r="B11" s="12" t="s">
        <v>96</v>
      </c>
      <c r="C11" s="9" t="s">
        <v>116</v>
      </c>
      <c r="D11" s="9" t="s">
        <v>117</v>
      </c>
      <c r="E11" s="9" t="s">
        <v>118</v>
      </c>
      <c r="F11" s="9" t="s">
        <v>119</v>
      </c>
      <c r="G11" s="9" t="s">
        <v>120</v>
      </c>
      <c r="H11" s="9" t="s">
        <v>102</v>
      </c>
      <c r="I11" s="9" t="s">
        <v>82</v>
      </c>
      <c r="J11" s="9" t="s">
        <v>32</v>
      </c>
      <c r="K11" s="9"/>
      <c r="L11" s="9"/>
      <c r="M11" s="9"/>
    </row>
    <row r="12" customFormat="false" ht="60" hidden="false" customHeight="true" outlineLevel="0" collapsed="false">
      <c r="A12" s="10" t="n">
        <v>8</v>
      </c>
      <c r="B12" s="13" t="s">
        <v>121</v>
      </c>
      <c r="C12" s="11" t="s">
        <v>122</v>
      </c>
      <c r="D12" s="11" t="s">
        <v>123</v>
      </c>
      <c r="E12" s="11" t="s">
        <v>124</v>
      </c>
      <c r="F12" s="11" t="s">
        <v>125</v>
      </c>
      <c r="G12" s="11" t="s">
        <v>126</v>
      </c>
      <c r="H12" s="11" t="s">
        <v>127</v>
      </c>
      <c r="I12" s="11" t="s">
        <v>82</v>
      </c>
      <c r="J12" s="11" t="s">
        <v>32</v>
      </c>
      <c r="K12" s="11"/>
      <c r="L12" s="11"/>
      <c r="M12" s="11"/>
    </row>
    <row r="13" customFormat="false" ht="60" hidden="false" customHeight="true" outlineLevel="0" collapsed="false">
      <c r="A13" s="7" t="n">
        <v>9</v>
      </c>
      <c r="B13" s="13" t="s">
        <v>121</v>
      </c>
      <c r="C13" s="9" t="s">
        <v>128</v>
      </c>
      <c r="D13" s="9" t="s">
        <v>129</v>
      </c>
      <c r="E13" s="9" t="s">
        <v>130</v>
      </c>
      <c r="F13" s="9" t="s">
        <v>131</v>
      </c>
      <c r="G13" s="9" t="s">
        <v>132</v>
      </c>
      <c r="H13" s="9" t="s">
        <v>127</v>
      </c>
      <c r="I13" s="9" t="s">
        <v>103</v>
      </c>
      <c r="J13" s="9" t="s">
        <v>32</v>
      </c>
      <c r="K13" s="9"/>
      <c r="L13" s="9"/>
      <c r="M13" s="9" t="s">
        <v>133</v>
      </c>
    </row>
    <row r="14" customFormat="false" ht="60" hidden="false" customHeight="true" outlineLevel="0" collapsed="false">
      <c r="A14" s="10" t="n">
        <v>10</v>
      </c>
      <c r="B14" s="13" t="s">
        <v>121</v>
      </c>
      <c r="C14" s="11" t="s">
        <v>134</v>
      </c>
      <c r="D14" s="11" t="s">
        <v>135</v>
      </c>
      <c r="E14" s="11" t="s">
        <v>136</v>
      </c>
      <c r="F14" s="11" t="s">
        <v>137</v>
      </c>
      <c r="G14" s="11" t="s">
        <v>138</v>
      </c>
      <c r="H14" s="11" t="s">
        <v>127</v>
      </c>
      <c r="I14" s="11" t="s">
        <v>103</v>
      </c>
      <c r="J14" s="11" t="s">
        <v>32</v>
      </c>
      <c r="K14" s="11"/>
      <c r="L14" s="11"/>
      <c r="M14" s="11" t="s">
        <v>139</v>
      </c>
    </row>
  </sheetData>
  <mergeCells count="2">
    <mergeCell ref="A1:M1"/>
    <mergeCell ref="A2:M2"/>
  </mergeCells>
  <dataValidations count="3">
    <dataValidation allowBlank="true" errorStyle="stop" operator="between" showDropDown="false" showErrorMessage="false" showInputMessage="false" sqref="J5:J14" type="list">
      <formula1>"New,Verified,Outreach Sent,Replied,Meeting Booked,Proposal Sent,Negotiating,Won,Lost,Nurture"</formula1>
      <formula2>0</formula2>
    </dataValidation>
    <dataValidation allowBlank="true" errorStyle="stop" operator="between" showDropDown="false" showErrorMessage="false" showInputMessage="false" sqref="H5:H14" type="list">
      <formula1>"Tier A — ₹10L+,Tier B — ₹3-10L,Tier C — ₹1-3L,Unknown"</formula1>
      <formula2>0</formula2>
    </dataValidation>
    <dataValidation allowBlank="true" errorStyle="stop" operator="between" showDropDown="false" showErrorMessage="false" showInputMessage="false" sqref="I5:I14" type="list">
      <formula1>"Email,WhatsApp,LinkedIn,Phone,In-Person,Multi-Channel"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6" min="6" style="0" width="26"/>
    <col collapsed="false" customWidth="true" hidden="false" outlineLevel="0" max="7" min="7" style="0" width="32"/>
    <col collapsed="false" customWidth="true" hidden="false" outlineLevel="0" max="8" min="8" style="0" width="18"/>
    <col collapsed="false" customWidth="true" hidden="false" outlineLevel="0" max="10" min="9" style="0" width="16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30"/>
  </cols>
  <sheetData>
    <row r="1" customFormat="false" ht="19.7" hidden="false" customHeight="false" outlineLevel="0" collapsed="false">
      <c r="A1" s="1" t="s">
        <v>140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141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31.5" hidden="false" customHeight="true" outlineLevel="0" collapsed="false">
      <c r="A4" s="6" t="s">
        <v>63</v>
      </c>
      <c r="B4" s="6" t="s">
        <v>5</v>
      </c>
      <c r="C4" s="6" t="s">
        <v>64</v>
      </c>
      <c r="D4" s="6" t="s">
        <v>65</v>
      </c>
      <c r="E4" s="6" t="s">
        <v>66</v>
      </c>
      <c r="F4" s="6" t="s">
        <v>67</v>
      </c>
      <c r="G4" s="6" t="s">
        <v>68</v>
      </c>
      <c r="H4" s="6" t="s">
        <v>69</v>
      </c>
      <c r="I4" s="6" t="s">
        <v>70</v>
      </c>
      <c r="J4" s="6" t="s">
        <v>71</v>
      </c>
      <c r="K4" s="6" t="s">
        <v>72</v>
      </c>
      <c r="L4" s="6" t="s">
        <v>73</v>
      </c>
      <c r="M4" s="6" t="s">
        <v>74</v>
      </c>
    </row>
    <row r="5" customFormat="false" ht="60" hidden="false" customHeight="true" outlineLevel="0" collapsed="false">
      <c r="A5" s="7" t="n">
        <v>1</v>
      </c>
      <c r="B5" s="8" t="s">
        <v>75</v>
      </c>
      <c r="C5" s="9" t="s">
        <v>142</v>
      </c>
      <c r="D5" s="9" t="s">
        <v>143</v>
      </c>
      <c r="E5" s="9" t="s">
        <v>144</v>
      </c>
      <c r="F5" s="9" t="s">
        <v>145</v>
      </c>
      <c r="G5" s="9" t="s">
        <v>146</v>
      </c>
      <c r="H5" s="9" t="s">
        <v>81</v>
      </c>
      <c r="I5" s="9" t="s">
        <v>103</v>
      </c>
      <c r="J5" s="9" t="s">
        <v>32</v>
      </c>
      <c r="K5" s="9"/>
      <c r="L5" s="9"/>
      <c r="M5" s="9" t="s">
        <v>147</v>
      </c>
    </row>
    <row r="6" customFormat="false" ht="60" hidden="false" customHeight="true" outlineLevel="0" collapsed="false">
      <c r="A6" s="10" t="n">
        <v>2</v>
      </c>
      <c r="B6" s="8" t="s">
        <v>75</v>
      </c>
      <c r="C6" s="11" t="s">
        <v>148</v>
      </c>
      <c r="D6" s="11" t="s">
        <v>149</v>
      </c>
      <c r="E6" s="11" t="s">
        <v>150</v>
      </c>
      <c r="F6" s="11" t="s">
        <v>151</v>
      </c>
      <c r="G6" s="11" t="s">
        <v>152</v>
      </c>
      <c r="H6" s="11" t="s">
        <v>81</v>
      </c>
      <c r="I6" s="11" t="s">
        <v>103</v>
      </c>
      <c r="J6" s="11" t="s">
        <v>32</v>
      </c>
      <c r="K6" s="11"/>
      <c r="L6" s="11"/>
      <c r="M6" s="11"/>
    </row>
    <row r="7" customFormat="false" ht="60" hidden="false" customHeight="true" outlineLevel="0" collapsed="false">
      <c r="A7" s="7" t="n">
        <v>3</v>
      </c>
      <c r="B7" s="8" t="s">
        <v>75</v>
      </c>
      <c r="C7" s="9" t="s">
        <v>153</v>
      </c>
      <c r="D7" s="9" t="s">
        <v>154</v>
      </c>
      <c r="E7" s="9" t="s">
        <v>155</v>
      </c>
      <c r="F7" s="9" t="s">
        <v>156</v>
      </c>
      <c r="G7" s="9" t="s">
        <v>157</v>
      </c>
      <c r="H7" s="9" t="s">
        <v>81</v>
      </c>
      <c r="I7" s="9" t="s">
        <v>103</v>
      </c>
      <c r="J7" s="9" t="s">
        <v>32</v>
      </c>
      <c r="K7" s="9"/>
      <c r="L7" s="9"/>
      <c r="M7" s="9"/>
    </row>
    <row r="8" customFormat="false" ht="60" hidden="false" customHeight="true" outlineLevel="0" collapsed="false">
      <c r="A8" s="10" t="n">
        <v>4</v>
      </c>
      <c r="B8" s="8" t="s">
        <v>75</v>
      </c>
      <c r="C8" s="11" t="s">
        <v>158</v>
      </c>
      <c r="D8" s="11" t="s">
        <v>159</v>
      </c>
      <c r="E8" s="11" t="s">
        <v>160</v>
      </c>
      <c r="F8" s="11" t="s">
        <v>161</v>
      </c>
      <c r="G8" s="11" t="s">
        <v>162</v>
      </c>
      <c r="H8" s="11" t="s">
        <v>81</v>
      </c>
      <c r="I8" s="11" t="s">
        <v>103</v>
      </c>
      <c r="J8" s="11" t="s">
        <v>32</v>
      </c>
      <c r="K8" s="11"/>
      <c r="L8" s="11"/>
      <c r="M8" s="11"/>
    </row>
    <row r="9" customFormat="false" ht="60" hidden="false" customHeight="true" outlineLevel="0" collapsed="false">
      <c r="A9" s="7" t="n">
        <v>5</v>
      </c>
      <c r="B9" s="12" t="s">
        <v>96</v>
      </c>
      <c r="C9" s="9" t="s">
        <v>163</v>
      </c>
      <c r="D9" s="9" t="s">
        <v>164</v>
      </c>
      <c r="E9" s="9" t="s">
        <v>165</v>
      </c>
      <c r="F9" s="9" t="s">
        <v>166</v>
      </c>
      <c r="G9" s="9" t="s">
        <v>167</v>
      </c>
      <c r="H9" s="9" t="s">
        <v>102</v>
      </c>
      <c r="I9" s="9" t="s">
        <v>103</v>
      </c>
      <c r="J9" s="9" t="s">
        <v>32</v>
      </c>
      <c r="K9" s="9"/>
      <c r="L9" s="9"/>
      <c r="M9" s="9"/>
    </row>
    <row r="10" customFormat="false" ht="60" hidden="false" customHeight="true" outlineLevel="0" collapsed="false">
      <c r="A10" s="10" t="n">
        <v>6</v>
      </c>
      <c r="B10" s="12" t="s">
        <v>96</v>
      </c>
      <c r="C10" s="11" t="s">
        <v>168</v>
      </c>
      <c r="D10" s="11" t="s">
        <v>169</v>
      </c>
      <c r="E10" s="11" t="s">
        <v>170</v>
      </c>
      <c r="F10" s="11" t="s">
        <v>171</v>
      </c>
      <c r="G10" s="11" t="s">
        <v>172</v>
      </c>
      <c r="H10" s="11" t="s">
        <v>102</v>
      </c>
      <c r="I10" s="11" t="s">
        <v>103</v>
      </c>
      <c r="J10" s="11" t="s">
        <v>32</v>
      </c>
      <c r="K10" s="11"/>
      <c r="L10" s="11"/>
      <c r="M10" s="11"/>
    </row>
    <row r="11" customFormat="false" ht="60" hidden="false" customHeight="true" outlineLevel="0" collapsed="false">
      <c r="A11" s="7" t="n">
        <v>7</v>
      </c>
      <c r="B11" s="12" t="s">
        <v>96</v>
      </c>
      <c r="C11" s="9" t="s">
        <v>173</v>
      </c>
      <c r="D11" s="9" t="s">
        <v>174</v>
      </c>
      <c r="E11" s="9" t="s">
        <v>175</v>
      </c>
      <c r="F11" s="9" t="s">
        <v>176</v>
      </c>
      <c r="G11" s="9" t="s">
        <v>177</v>
      </c>
      <c r="H11" s="9" t="s">
        <v>102</v>
      </c>
      <c r="I11" s="9" t="s">
        <v>103</v>
      </c>
      <c r="J11" s="9" t="s">
        <v>32</v>
      </c>
      <c r="K11" s="9"/>
      <c r="L11" s="9"/>
      <c r="M11" s="9"/>
    </row>
    <row r="12" customFormat="false" ht="60" hidden="false" customHeight="true" outlineLevel="0" collapsed="false">
      <c r="A12" s="10" t="n">
        <v>8</v>
      </c>
      <c r="B12" s="13" t="s">
        <v>121</v>
      </c>
      <c r="C12" s="11" t="s">
        <v>178</v>
      </c>
      <c r="D12" s="11" t="s">
        <v>179</v>
      </c>
      <c r="E12" s="11" t="s">
        <v>180</v>
      </c>
      <c r="F12" s="11" t="s">
        <v>181</v>
      </c>
      <c r="G12" s="11" t="s">
        <v>182</v>
      </c>
      <c r="H12" s="11" t="s">
        <v>127</v>
      </c>
      <c r="I12" s="11" t="s">
        <v>103</v>
      </c>
      <c r="J12" s="11" t="s">
        <v>32</v>
      </c>
      <c r="K12" s="11"/>
      <c r="L12" s="11"/>
      <c r="M12" s="11" t="s">
        <v>183</v>
      </c>
    </row>
    <row r="13" customFormat="false" ht="60" hidden="false" customHeight="true" outlineLevel="0" collapsed="false">
      <c r="A13" s="7" t="n">
        <v>9</v>
      </c>
      <c r="B13" s="13" t="s">
        <v>121</v>
      </c>
      <c r="C13" s="9" t="s">
        <v>184</v>
      </c>
      <c r="D13" s="9" t="s">
        <v>185</v>
      </c>
      <c r="E13" s="9" t="s">
        <v>186</v>
      </c>
      <c r="F13" s="9" t="s">
        <v>187</v>
      </c>
      <c r="G13" s="9" t="s">
        <v>188</v>
      </c>
      <c r="H13" s="9" t="s">
        <v>127</v>
      </c>
      <c r="I13" s="9" t="s">
        <v>103</v>
      </c>
      <c r="J13" s="9" t="s">
        <v>32</v>
      </c>
      <c r="K13" s="9"/>
      <c r="L13" s="9"/>
      <c r="M13" s="9"/>
    </row>
    <row r="14" customFormat="false" ht="60" hidden="false" customHeight="true" outlineLevel="0" collapsed="false">
      <c r="A14" s="10" t="n">
        <v>10</v>
      </c>
      <c r="B14" s="13" t="s">
        <v>121</v>
      </c>
      <c r="C14" s="11" t="s">
        <v>189</v>
      </c>
      <c r="D14" s="11" t="s">
        <v>190</v>
      </c>
      <c r="E14" s="11" t="s">
        <v>191</v>
      </c>
      <c r="F14" s="11" t="s">
        <v>192</v>
      </c>
      <c r="G14" s="11" t="s">
        <v>193</v>
      </c>
      <c r="H14" s="11" t="s">
        <v>127</v>
      </c>
      <c r="I14" s="11" t="s">
        <v>103</v>
      </c>
      <c r="J14" s="11" t="s">
        <v>32</v>
      </c>
      <c r="K14" s="11"/>
      <c r="L14" s="11"/>
      <c r="M14" s="11"/>
    </row>
  </sheetData>
  <mergeCells count="2">
    <mergeCell ref="A1:M1"/>
    <mergeCell ref="A2:M2"/>
  </mergeCells>
  <dataValidations count="3">
    <dataValidation allowBlank="true" errorStyle="stop" operator="between" showDropDown="false" showErrorMessage="false" showInputMessage="false" sqref="J5:J14" type="list">
      <formula1>"New,Verified,Outreach Sent,Replied,Meeting Booked,Proposal Sent,Negotiating,Won,Lost,Nurture"</formula1>
      <formula2>0</formula2>
    </dataValidation>
    <dataValidation allowBlank="true" errorStyle="stop" operator="between" showDropDown="false" showErrorMessage="false" showInputMessage="false" sqref="H5:H14" type="list">
      <formula1>"Tier A — ₹10L+,Tier B — ₹3-10L,Tier C — ₹1-3L,Unknown"</formula1>
      <formula2>0</formula2>
    </dataValidation>
    <dataValidation allowBlank="true" errorStyle="stop" operator="between" showDropDown="false" showErrorMessage="false" showInputMessage="false" sqref="I5:I14" type="list">
      <formula1>"Email,WhatsApp,LinkedIn,Phone,In-Person,Multi-Channel"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6" min="6" style="0" width="26"/>
    <col collapsed="false" customWidth="true" hidden="false" outlineLevel="0" max="7" min="7" style="0" width="32"/>
    <col collapsed="false" customWidth="true" hidden="false" outlineLevel="0" max="8" min="8" style="0" width="18"/>
    <col collapsed="false" customWidth="true" hidden="false" outlineLevel="0" max="10" min="9" style="0" width="16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30"/>
  </cols>
  <sheetData>
    <row r="1" customFormat="false" ht="19.7" hidden="false" customHeight="false" outlineLevel="0" collapsed="false">
      <c r="A1" s="1" t="s">
        <v>194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195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31.5" hidden="false" customHeight="true" outlineLevel="0" collapsed="false">
      <c r="A4" s="6" t="s">
        <v>63</v>
      </c>
      <c r="B4" s="6" t="s">
        <v>5</v>
      </c>
      <c r="C4" s="6" t="s">
        <v>64</v>
      </c>
      <c r="D4" s="6" t="s">
        <v>65</v>
      </c>
      <c r="E4" s="6" t="s">
        <v>66</v>
      </c>
      <c r="F4" s="6" t="s">
        <v>67</v>
      </c>
      <c r="G4" s="6" t="s">
        <v>68</v>
      </c>
      <c r="H4" s="6" t="s">
        <v>69</v>
      </c>
      <c r="I4" s="6" t="s">
        <v>70</v>
      </c>
      <c r="J4" s="6" t="s">
        <v>71</v>
      </c>
      <c r="K4" s="6" t="s">
        <v>72</v>
      </c>
      <c r="L4" s="6" t="s">
        <v>73</v>
      </c>
      <c r="M4" s="6" t="s">
        <v>74</v>
      </c>
    </row>
    <row r="5" customFormat="false" ht="60" hidden="false" customHeight="true" outlineLevel="0" collapsed="false">
      <c r="A5" s="7" t="n">
        <v>1</v>
      </c>
      <c r="B5" s="8" t="s">
        <v>75</v>
      </c>
      <c r="C5" s="9" t="s">
        <v>196</v>
      </c>
      <c r="D5" s="9" t="s">
        <v>197</v>
      </c>
      <c r="E5" s="9" t="s">
        <v>198</v>
      </c>
      <c r="F5" s="9" t="s">
        <v>199</v>
      </c>
      <c r="G5" s="9" t="s">
        <v>200</v>
      </c>
      <c r="H5" s="9" t="s">
        <v>81</v>
      </c>
      <c r="I5" s="9" t="s">
        <v>201</v>
      </c>
      <c r="J5" s="9" t="s">
        <v>32</v>
      </c>
      <c r="K5" s="9"/>
      <c r="L5" s="9"/>
      <c r="M5" s="9" t="s">
        <v>202</v>
      </c>
    </row>
    <row r="6" customFormat="false" ht="60" hidden="false" customHeight="true" outlineLevel="0" collapsed="false">
      <c r="A6" s="10" t="n">
        <v>2</v>
      </c>
      <c r="B6" s="8" t="s">
        <v>75</v>
      </c>
      <c r="C6" s="11" t="s">
        <v>203</v>
      </c>
      <c r="D6" s="11" t="s">
        <v>204</v>
      </c>
      <c r="E6" s="11" t="s">
        <v>205</v>
      </c>
      <c r="F6" s="11" t="s">
        <v>206</v>
      </c>
      <c r="G6" s="11" t="s">
        <v>207</v>
      </c>
      <c r="H6" s="11" t="s">
        <v>81</v>
      </c>
      <c r="I6" s="11" t="s">
        <v>103</v>
      </c>
      <c r="J6" s="11" t="s">
        <v>32</v>
      </c>
      <c r="K6" s="11"/>
      <c r="L6" s="11"/>
      <c r="M6" s="11" t="s">
        <v>208</v>
      </c>
    </row>
    <row r="7" customFormat="false" ht="60" hidden="false" customHeight="true" outlineLevel="0" collapsed="false">
      <c r="A7" s="7" t="n">
        <v>3</v>
      </c>
      <c r="B7" s="8" t="s">
        <v>75</v>
      </c>
      <c r="C7" s="9" t="s">
        <v>209</v>
      </c>
      <c r="D7" s="9" t="s">
        <v>210</v>
      </c>
      <c r="E7" s="9" t="s">
        <v>211</v>
      </c>
      <c r="F7" s="9" t="s">
        <v>212</v>
      </c>
      <c r="G7" s="9" t="s">
        <v>213</v>
      </c>
      <c r="H7" s="9" t="s">
        <v>81</v>
      </c>
      <c r="I7" s="9" t="s">
        <v>103</v>
      </c>
      <c r="J7" s="9" t="s">
        <v>32</v>
      </c>
      <c r="K7" s="9"/>
      <c r="L7" s="9"/>
      <c r="M7" s="9"/>
    </row>
    <row r="8" customFormat="false" ht="60" hidden="false" customHeight="true" outlineLevel="0" collapsed="false">
      <c r="A8" s="10" t="n">
        <v>4</v>
      </c>
      <c r="B8" s="12" t="s">
        <v>96</v>
      </c>
      <c r="C8" s="11" t="s">
        <v>214</v>
      </c>
      <c r="D8" s="11" t="s">
        <v>215</v>
      </c>
      <c r="E8" s="11" t="s">
        <v>216</v>
      </c>
      <c r="F8" s="11" t="s">
        <v>217</v>
      </c>
      <c r="G8" s="11" t="s">
        <v>218</v>
      </c>
      <c r="H8" s="11" t="s">
        <v>102</v>
      </c>
      <c r="I8" s="11" t="s">
        <v>103</v>
      </c>
      <c r="J8" s="11" t="s">
        <v>32</v>
      </c>
      <c r="K8" s="11"/>
      <c r="L8" s="11"/>
      <c r="M8" s="11"/>
    </row>
    <row r="9" customFormat="false" ht="60" hidden="false" customHeight="true" outlineLevel="0" collapsed="false">
      <c r="A9" s="7" t="n">
        <v>5</v>
      </c>
      <c r="B9" s="12" t="s">
        <v>96</v>
      </c>
      <c r="C9" s="9" t="s">
        <v>219</v>
      </c>
      <c r="D9" s="9" t="s">
        <v>220</v>
      </c>
      <c r="E9" s="9" t="s">
        <v>221</v>
      </c>
      <c r="F9" s="9" t="s">
        <v>222</v>
      </c>
      <c r="G9" s="9" t="s">
        <v>223</v>
      </c>
      <c r="H9" s="9" t="s">
        <v>102</v>
      </c>
      <c r="I9" s="9" t="s">
        <v>103</v>
      </c>
      <c r="J9" s="9" t="s">
        <v>32</v>
      </c>
      <c r="K9" s="9"/>
      <c r="L9" s="9"/>
      <c r="M9" s="9"/>
    </row>
    <row r="10" customFormat="false" ht="60" hidden="false" customHeight="true" outlineLevel="0" collapsed="false">
      <c r="A10" s="10" t="n">
        <v>6</v>
      </c>
      <c r="B10" s="12" t="s">
        <v>96</v>
      </c>
      <c r="C10" s="11" t="s">
        <v>224</v>
      </c>
      <c r="D10" s="11" t="s">
        <v>225</v>
      </c>
      <c r="E10" s="11" t="s">
        <v>226</v>
      </c>
      <c r="F10" s="11" t="s">
        <v>227</v>
      </c>
      <c r="G10" s="11" t="s">
        <v>228</v>
      </c>
      <c r="H10" s="11" t="s">
        <v>102</v>
      </c>
      <c r="I10" s="11" t="s">
        <v>103</v>
      </c>
      <c r="J10" s="11" t="s">
        <v>32</v>
      </c>
      <c r="K10" s="11"/>
      <c r="L10" s="11"/>
      <c r="M10" s="11"/>
    </row>
    <row r="11" customFormat="false" ht="60" hidden="false" customHeight="true" outlineLevel="0" collapsed="false">
      <c r="A11" s="7" t="n">
        <v>7</v>
      </c>
      <c r="B11" s="12" t="s">
        <v>96</v>
      </c>
      <c r="C11" s="9" t="s">
        <v>229</v>
      </c>
      <c r="D11" s="9" t="s">
        <v>230</v>
      </c>
      <c r="E11" s="9" t="s">
        <v>231</v>
      </c>
      <c r="F11" s="9" t="s">
        <v>232</v>
      </c>
      <c r="G11" s="9" t="s">
        <v>233</v>
      </c>
      <c r="H11" s="9" t="s">
        <v>102</v>
      </c>
      <c r="I11" s="9" t="s">
        <v>103</v>
      </c>
      <c r="J11" s="9" t="s">
        <v>32</v>
      </c>
      <c r="K11" s="9"/>
      <c r="L11" s="9"/>
      <c r="M11" s="9"/>
    </row>
    <row r="12" customFormat="false" ht="60" hidden="false" customHeight="true" outlineLevel="0" collapsed="false">
      <c r="A12" s="10" t="n">
        <v>8</v>
      </c>
      <c r="B12" s="13" t="s">
        <v>121</v>
      </c>
      <c r="C12" s="11" t="s">
        <v>234</v>
      </c>
      <c r="D12" s="11" t="s">
        <v>235</v>
      </c>
      <c r="E12" s="11" t="s">
        <v>236</v>
      </c>
      <c r="F12" s="11" t="s">
        <v>237</v>
      </c>
      <c r="G12" s="11" t="s">
        <v>238</v>
      </c>
      <c r="H12" s="11" t="s">
        <v>127</v>
      </c>
      <c r="I12" s="11" t="s">
        <v>103</v>
      </c>
      <c r="J12" s="11" t="s">
        <v>32</v>
      </c>
      <c r="K12" s="11"/>
      <c r="L12" s="11"/>
      <c r="M12" s="11"/>
    </row>
    <row r="13" customFormat="false" ht="60" hidden="false" customHeight="true" outlineLevel="0" collapsed="false">
      <c r="A13" s="7" t="n">
        <v>9</v>
      </c>
      <c r="B13" s="13" t="s">
        <v>121</v>
      </c>
      <c r="C13" s="9" t="s">
        <v>239</v>
      </c>
      <c r="D13" s="9" t="s">
        <v>240</v>
      </c>
      <c r="E13" s="9" t="s">
        <v>241</v>
      </c>
      <c r="F13" s="9" t="s">
        <v>242</v>
      </c>
      <c r="G13" s="9" t="s">
        <v>243</v>
      </c>
      <c r="H13" s="9" t="s">
        <v>127</v>
      </c>
      <c r="I13" s="9" t="s">
        <v>103</v>
      </c>
      <c r="J13" s="9" t="s">
        <v>32</v>
      </c>
      <c r="K13" s="9"/>
      <c r="L13" s="9"/>
      <c r="M13" s="9" t="s">
        <v>244</v>
      </c>
    </row>
    <row r="14" customFormat="false" ht="60" hidden="false" customHeight="true" outlineLevel="0" collapsed="false">
      <c r="A14" s="10" t="n">
        <v>10</v>
      </c>
      <c r="B14" s="13" t="s">
        <v>121</v>
      </c>
      <c r="C14" s="11" t="s">
        <v>245</v>
      </c>
      <c r="D14" s="11" t="s">
        <v>246</v>
      </c>
      <c r="E14" s="11" t="s">
        <v>247</v>
      </c>
      <c r="F14" s="11" t="s">
        <v>248</v>
      </c>
      <c r="G14" s="11" t="s">
        <v>249</v>
      </c>
      <c r="H14" s="11" t="s">
        <v>127</v>
      </c>
      <c r="I14" s="11" t="s">
        <v>103</v>
      </c>
      <c r="J14" s="11" t="s">
        <v>32</v>
      </c>
      <c r="K14" s="11"/>
      <c r="L14" s="11"/>
      <c r="M14" s="11"/>
    </row>
  </sheetData>
  <mergeCells count="2">
    <mergeCell ref="A1:M1"/>
    <mergeCell ref="A2:M2"/>
  </mergeCells>
  <dataValidations count="3">
    <dataValidation allowBlank="true" errorStyle="stop" operator="between" showDropDown="false" showErrorMessage="false" showInputMessage="false" sqref="J5:J14" type="list">
      <formula1>"New,Verified,Outreach Sent,Replied,Meeting Booked,Proposal Sent,Negotiating,Won,Lost,Nurture"</formula1>
      <formula2>0</formula2>
    </dataValidation>
    <dataValidation allowBlank="true" errorStyle="stop" operator="between" showDropDown="false" showErrorMessage="false" showInputMessage="false" sqref="H5:H14" type="list">
      <formula1>"Tier A — ₹10L+,Tier B — ₹3-10L,Tier C — ₹1-3L,Unknown"</formula1>
      <formula2>0</formula2>
    </dataValidation>
    <dataValidation allowBlank="true" errorStyle="stop" operator="between" showDropDown="false" showErrorMessage="false" showInputMessage="false" sqref="I5:I14" type="list">
      <formula1>"Email,WhatsApp,LinkedIn,Phone,In-Person,Multi-Channel"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6" min="6" style="0" width="26"/>
    <col collapsed="false" customWidth="true" hidden="false" outlineLevel="0" max="7" min="7" style="0" width="32"/>
    <col collapsed="false" customWidth="true" hidden="false" outlineLevel="0" max="8" min="8" style="0" width="18"/>
    <col collapsed="false" customWidth="true" hidden="false" outlineLevel="0" max="10" min="9" style="0" width="16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30"/>
  </cols>
  <sheetData>
    <row r="1" customFormat="false" ht="19.7" hidden="false" customHeight="false" outlineLevel="0" collapsed="false">
      <c r="A1" s="1" t="s">
        <v>250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251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31.5" hidden="false" customHeight="true" outlineLevel="0" collapsed="false">
      <c r="A4" s="6" t="s">
        <v>63</v>
      </c>
      <c r="B4" s="6" t="s">
        <v>5</v>
      </c>
      <c r="C4" s="6" t="s">
        <v>64</v>
      </c>
      <c r="D4" s="6" t="s">
        <v>65</v>
      </c>
      <c r="E4" s="6" t="s">
        <v>66</v>
      </c>
      <c r="F4" s="6" t="s">
        <v>67</v>
      </c>
      <c r="G4" s="6" t="s">
        <v>68</v>
      </c>
      <c r="H4" s="6" t="s">
        <v>69</v>
      </c>
      <c r="I4" s="6" t="s">
        <v>70</v>
      </c>
      <c r="J4" s="6" t="s">
        <v>71</v>
      </c>
      <c r="K4" s="6" t="s">
        <v>72</v>
      </c>
      <c r="L4" s="6" t="s">
        <v>73</v>
      </c>
      <c r="M4" s="6" t="s">
        <v>74</v>
      </c>
    </row>
    <row r="5" customFormat="false" ht="60" hidden="false" customHeight="true" outlineLevel="0" collapsed="false">
      <c r="A5" s="7" t="n">
        <v>1</v>
      </c>
      <c r="B5" s="8" t="s">
        <v>75</v>
      </c>
      <c r="C5" s="9" t="s">
        <v>252</v>
      </c>
      <c r="D5" s="9" t="s">
        <v>253</v>
      </c>
      <c r="E5" s="9" t="s">
        <v>254</v>
      </c>
      <c r="F5" s="9" t="s">
        <v>255</v>
      </c>
      <c r="G5" s="9" t="s">
        <v>256</v>
      </c>
      <c r="H5" s="9" t="s">
        <v>81</v>
      </c>
      <c r="I5" s="9" t="s">
        <v>201</v>
      </c>
      <c r="J5" s="9" t="s">
        <v>32</v>
      </c>
      <c r="K5" s="9"/>
      <c r="L5" s="9"/>
      <c r="M5" s="9" t="s">
        <v>257</v>
      </c>
    </row>
    <row r="6" customFormat="false" ht="60" hidden="false" customHeight="true" outlineLevel="0" collapsed="false">
      <c r="A6" s="10" t="n">
        <v>2</v>
      </c>
      <c r="B6" s="8" t="s">
        <v>75</v>
      </c>
      <c r="C6" s="11" t="s">
        <v>258</v>
      </c>
      <c r="D6" s="11" t="s">
        <v>259</v>
      </c>
      <c r="E6" s="11" t="s">
        <v>260</v>
      </c>
      <c r="F6" s="11" t="s">
        <v>261</v>
      </c>
      <c r="G6" s="11" t="s">
        <v>262</v>
      </c>
      <c r="H6" s="11" t="s">
        <v>81</v>
      </c>
      <c r="I6" s="11" t="s">
        <v>201</v>
      </c>
      <c r="J6" s="11" t="s">
        <v>32</v>
      </c>
      <c r="K6" s="11"/>
      <c r="L6" s="11"/>
      <c r="M6" s="11"/>
    </row>
    <row r="7" customFormat="false" ht="60" hidden="false" customHeight="true" outlineLevel="0" collapsed="false">
      <c r="A7" s="7" t="n">
        <v>3</v>
      </c>
      <c r="B7" s="8" t="s">
        <v>75</v>
      </c>
      <c r="C7" s="9" t="s">
        <v>263</v>
      </c>
      <c r="D7" s="9" t="s">
        <v>264</v>
      </c>
      <c r="E7" s="9" t="s">
        <v>265</v>
      </c>
      <c r="F7" s="9" t="s">
        <v>266</v>
      </c>
      <c r="G7" s="9" t="s">
        <v>267</v>
      </c>
      <c r="H7" s="9" t="s">
        <v>81</v>
      </c>
      <c r="I7" s="9" t="s">
        <v>103</v>
      </c>
      <c r="J7" s="9" t="s">
        <v>32</v>
      </c>
      <c r="K7" s="9"/>
      <c r="L7" s="9"/>
      <c r="M7" s="9" t="s">
        <v>268</v>
      </c>
    </row>
    <row r="8" customFormat="false" ht="60" hidden="false" customHeight="true" outlineLevel="0" collapsed="false">
      <c r="A8" s="10" t="n">
        <v>4</v>
      </c>
      <c r="B8" s="12" t="s">
        <v>96</v>
      </c>
      <c r="C8" s="11" t="s">
        <v>269</v>
      </c>
      <c r="D8" s="11" t="s">
        <v>270</v>
      </c>
      <c r="E8" s="11" t="s">
        <v>271</v>
      </c>
      <c r="F8" s="11" t="s">
        <v>272</v>
      </c>
      <c r="G8" s="11" t="s">
        <v>273</v>
      </c>
      <c r="H8" s="11" t="s">
        <v>102</v>
      </c>
      <c r="I8" s="11" t="s">
        <v>103</v>
      </c>
      <c r="J8" s="11" t="s">
        <v>32</v>
      </c>
      <c r="K8" s="11"/>
      <c r="L8" s="11"/>
      <c r="M8" s="11" t="s">
        <v>274</v>
      </c>
    </row>
    <row r="9" customFormat="false" ht="60" hidden="false" customHeight="true" outlineLevel="0" collapsed="false">
      <c r="A9" s="7" t="n">
        <v>5</v>
      </c>
      <c r="B9" s="12" t="s">
        <v>96</v>
      </c>
      <c r="C9" s="9" t="s">
        <v>275</v>
      </c>
      <c r="D9" s="9" t="s">
        <v>276</v>
      </c>
      <c r="E9" s="9" t="s">
        <v>277</v>
      </c>
      <c r="F9" s="9" t="s">
        <v>278</v>
      </c>
      <c r="G9" s="9" t="s">
        <v>279</v>
      </c>
      <c r="H9" s="9" t="s">
        <v>102</v>
      </c>
      <c r="I9" s="9" t="s">
        <v>103</v>
      </c>
      <c r="J9" s="9" t="s">
        <v>32</v>
      </c>
      <c r="K9" s="9"/>
      <c r="L9" s="9"/>
      <c r="M9" s="9" t="s">
        <v>280</v>
      </c>
    </row>
    <row r="10" customFormat="false" ht="60" hidden="false" customHeight="true" outlineLevel="0" collapsed="false">
      <c r="A10" s="10" t="n">
        <v>6</v>
      </c>
      <c r="B10" s="12" t="s">
        <v>96</v>
      </c>
      <c r="C10" s="11" t="s">
        <v>281</v>
      </c>
      <c r="D10" s="11" t="s">
        <v>282</v>
      </c>
      <c r="E10" s="11" t="s">
        <v>175</v>
      </c>
      <c r="F10" s="11" t="s">
        <v>283</v>
      </c>
      <c r="G10" s="11" t="s">
        <v>284</v>
      </c>
      <c r="H10" s="11" t="s">
        <v>102</v>
      </c>
      <c r="I10" s="11" t="s">
        <v>103</v>
      </c>
      <c r="J10" s="11" t="s">
        <v>32</v>
      </c>
      <c r="K10" s="11"/>
      <c r="L10" s="11"/>
      <c r="M10" s="11"/>
    </row>
    <row r="11" customFormat="false" ht="60" hidden="false" customHeight="true" outlineLevel="0" collapsed="false">
      <c r="A11" s="7" t="n">
        <v>7</v>
      </c>
      <c r="B11" s="13" t="s">
        <v>121</v>
      </c>
      <c r="C11" s="9" t="s">
        <v>285</v>
      </c>
      <c r="D11" s="9" t="s">
        <v>286</v>
      </c>
      <c r="E11" s="9" t="s">
        <v>236</v>
      </c>
      <c r="F11" s="9" t="s">
        <v>206</v>
      </c>
      <c r="G11" s="9" t="s">
        <v>287</v>
      </c>
      <c r="H11" s="9" t="s">
        <v>127</v>
      </c>
      <c r="I11" s="9" t="s">
        <v>103</v>
      </c>
      <c r="J11" s="9" t="s">
        <v>32</v>
      </c>
      <c r="K11" s="9"/>
      <c r="L11" s="9"/>
      <c r="M11" s="9"/>
    </row>
    <row r="12" customFormat="false" ht="60" hidden="false" customHeight="true" outlineLevel="0" collapsed="false">
      <c r="A12" s="10" t="n">
        <v>8</v>
      </c>
      <c r="B12" s="13" t="s">
        <v>121</v>
      </c>
      <c r="C12" s="11" t="s">
        <v>288</v>
      </c>
      <c r="D12" s="11" t="s">
        <v>289</v>
      </c>
      <c r="E12" s="11" t="s">
        <v>290</v>
      </c>
      <c r="F12" s="11" t="s">
        <v>291</v>
      </c>
      <c r="G12" s="11" t="s">
        <v>292</v>
      </c>
      <c r="H12" s="11" t="s">
        <v>127</v>
      </c>
      <c r="I12" s="11" t="s">
        <v>293</v>
      </c>
      <c r="J12" s="11" t="s">
        <v>32</v>
      </c>
      <c r="K12" s="11"/>
      <c r="L12" s="11"/>
      <c r="M12" s="11"/>
    </row>
    <row r="13" customFormat="false" ht="60" hidden="false" customHeight="true" outlineLevel="0" collapsed="false">
      <c r="A13" s="7" t="n">
        <v>9</v>
      </c>
      <c r="B13" s="13" t="s">
        <v>121</v>
      </c>
      <c r="C13" s="9" t="s">
        <v>294</v>
      </c>
      <c r="D13" s="9" t="s">
        <v>295</v>
      </c>
      <c r="E13" s="9" t="s">
        <v>247</v>
      </c>
      <c r="F13" s="9" t="s">
        <v>296</v>
      </c>
      <c r="G13" s="9" t="s">
        <v>297</v>
      </c>
      <c r="H13" s="9" t="s">
        <v>127</v>
      </c>
      <c r="I13" s="9" t="s">
        <v>103</v>
      </c>
      <c r="J13" s="9" t="s">
        <v>32</v>
      </c>
      <c r="K13" s="9"/>
      <c r="L13" s="9"/>
      <c r="M13" s="9"/>
    </row>
    <row r="14" customFormat="false" ht="60" hidden="false" customHeight="true" outlineLevel="0" collapsed="false">
      <c r="A14" s="10" t="n">
        <v>10</v>
      </c>
      <c r="B14" s="13" t="s">
        <v>121</v>
      </c>
      <c r="C14" s="11" t="s">
        <v>298</v>
      </c>
      <c r="D14" s="11" t="s">
        <v>299</v>
      </c>
      <c r="E14" s="11" t="s">
        <v>300</v>
      </c>
      <c r="F14" s="11" t="s">
        <v>296</v>
      </c>
      <c r="G14" s="11" t="s">
        <v>301</v>
      </c>
      <c r="H14" s="11" t="s">
        <v>127</v>
      </c>
      <c r="I14" s="11" t="s">
        <v>103</v>
      </c>
      <c r="J14" s="11" t="s">
        <v>32</v>
      </c>
      <c r="K14" s="11"/>
      <c r="L14" s="11"/>
      <c r="M14" s="11"/>
    </row>
  </sheetData>
  <mergeCells count="2">
    <mergeCell ref="A1:M1"/>
    <mergeCell ref="A2:M2"/>
  </mergeCells>
  <dataValidations count="3">
    <dataValidation allowBlank="true" errorStyle="stop" operator="between" showDropDown="false" showErrorMessage="false" showInputMessage="false" sqref="J5:J14" type="list">
      <formula1>"New,Verified,Outreach Sent,Replied,Meeting Booked,Proposal Sent,Negotiating,Won,Lost,Nurture"</formula1>
      <formula2>0</formula2>
    </dataValidation>
    <dataValidation allowBlank="true" errorStyle="stop" operator="between" showDropDown="false" showErrorMessage="false" showInputMessage="false" sqref="H5:H14" type="list">
      <formula1>"Tier A — ₹10L+,Tier B — ₹3-10L,Tier C — ₹1-3L,Unknown"</formula1>
      <formula2>0</formula2>
    </dataValidation>
    <dataValidation allowBlank="true" errorStyle="stop" operator="between" showDropDown="false" showErrorMessage="false" showInputMessage="false" sqref="I5:I14" type="list">
      <formula1>"Email,WhatsApp,LinkedIn,Phone,In-Person,Multi-Channel"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6" min="6" style="0" width="26"/>
    <col collapsed="false" customWidth="true" hidden="false" outlineLevel="0" max="7" min="7" style="0" width="32"/>
    <col collapsed="false" customWidth="true" hidden="false" outlineLevel="0" max="8" min="8" style="0" width="18"/>
    <col collapsed="false" customWidth="true" hidden="false" outlineLevel="0" max="10" min="9" style="0" width="16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30"/>
  </cols>
  <sheetData>
    <row r="1" customFormat="false" ht="19.7" hidden="false" customHeight="false" outlineLevel="0" collapsed="false">
      <c r="A1" s="1" t="s">
        <v>302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303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31.5" hidden="false" customHeight="true" outlineLevel="0" collapsed="false">
      <c r="A4" s="6" t="s">
        <v>63</v>
      </c>
      <c r="B4" s="6" t="s">
        <v>5</v>
      </c>
      <c r="C4" s="6" t="s">
        <v>64</v>
      </c>
      <c r="D4" s="6" t="s">
        <v>65</v>
      </c>
      <c r="E4" s="6" t="s">
        <v>66</v>
      </c>
      <c r="F4" s="6" t="s">
        <v>67</v>
      </c>
      <c r="G4" s="6" t="s">
        <v>68</v>
      </c>
      <c r="H4" s="6" t="s">
        <v>69</v>
      </c>
      <c r="I4" s="6" t="s">
        <v>70</v>
      </c>
      <c r="J4" s="6" t="s">
        <v>71</v>
      </c>
      <c r="K4" s="6" t="s">
        <v>72</v>
      </c>
      <c r="L4" s="6" t="s">
        <v>73</v>
      </c>
      <c r="M4" s="6" t="s">
        <v>74</v>
      </c>
    </row>
    <row r="5" customFormat="false" ht="60" hidden="false" customHeight="true" outlineLevel="0" collapsed="false">
      <c r="A5" s="7" t="n">
        <v>1</v>
      </c>
      <c r="B5" s="8" t="s">
        <v>75</v>
      </c>
      <c r="C5" s="9" t="s">
        <v>304</v>
      </c>
      <c r="D5" s="9" t="s">
        <v>305</v>
      </c>
      <c r="E5" s="9" t="s">
        <v>306</v>
      </c>
      <c r="F5" s="9" t="s">
        <v>307</v>
      </c>
      <c r="G5" s="9" t="s">
        <v>308</v>
      </c>
      <c r="H5" s="9" t="s">
        <v>81</v>
      </c>
      <c r="I5" s="9" t="s">
        <v>201</v>
      </c>
      <c r="J5" s="9" t="s">
        <v>32</v>
      </c>
      <c r="K5" s="9"/>
      <c r="L5" s="9"/>
      <c r="M5" s="9" t="s">
        <v>309</v>
      </c>
    </row>
    <row r="6" customFormat="false" ht="60" hidden="false" customHeight="true" outlineLevel="0" collapsed="false">
      <c r="A6" s="10" t="n">
        <v>2</v>
      </c>
      <c r="B6" s="8" t="s">
        <v>75</v>
      </c>
      <c r="C6" s="11" t="s">
        <v>310</v>
      </c>
      <c r="D6" s="11" t="s">
        <v>311</v>
      </c>
      <c r="E6" s="11" t="s">
        <v>312</v>
      </c>
      <c r="F6" s="11" t="s">
        <v>313</v>
      </c>
      <c r="G6" s="11" t="s">
        <v>314</v>
      </c>
      <c r="H6" s="11" t="s">
        <v>81</v>
      </c>
      <c r="I6" s="11" t="s">
        <v>103</v>
      </c>
      <c r="J6" s="11" t="s">
        <v>32</v>
      </c>
      <c r="K6" s="11"/>
      <c r="L6" s="11"/>
      <c r="M6" s="11"/>
    </row>
    <row r="7" customFormat="false" ht="60" hidden="false" customHeight="true" outlineLevel="0" collapsed="false">
      <c r="A7" s="7" t="n">
        <v>3</v>
      </c>
      <c r="B7" s="8" t="s">
        <v>75</v>
      </c>
      <c r="C7" s="9" t="s">
        <v>315</v>
      </c>
      <c r="D7" s="9" t="s">
        <v>316</v>
      </c>
      <c r="E7" s="9" t="s">
        <v>317</v>
      </c>
      <c r="F7" s="9" t="s">
        <v>318</v>
      </c>
      <c r="G7" s="9" t="s">
        <v>319</v>
      </c>
      <c r="H7" s="9" t="s">
        <v>81</v>
      </c>
      <c r="I7" s="9" t="s">
        <v>103</v>
      </c>
      <c r="J7" s="9" t="s">
        <v>32</v>
      </c>
      <c r="K7" s="9"/>
      <c r="L7" s="9"/>
      <c r="M7" s="9"/>
    </row>
    <row r="8" customFormat="false" ht="60" hidden="false" customHeight="true" outlineLevel="0" collapsed="false">
      <c r="A8" s="10" t="n">
        <v>4</v>
      </c>
      <c r="B8" s="12" t="s">
        <v>96</v>
      </c>
      <c r="C8" s="11" t="s">
        <v>320</v>
      </c>
      <c r="D8" s="11" t="s">
        <v>321</v>
      </c>
      <c r="E8" s="11" t="s">
        <v>322</v>
      </c>
      <c r="F8" s="11" t="s">
        <v>206</v>
      </c>
      <c r="G8" s="11" t="s">
        <v>323</v>
      </c>
      <c r="H8" s="11" t="s">
        <v>102</v>
      </c>
      <c r="I8" s="11" t="s">
        <v>103</v>
      </c>
      <c r="J8" s="11" t="s">
        <v>32</v>
      </c>
      <c r="K8" s="11"/>
      <c r="L8" s="11"/>
      <c r="M8" s="11" t="s">
        <v>324</v>
      </c>
    </row>
    <row r="9" customFormat="false" ht="60" hidden="false" customHeight="true" outlineLevel="0" collapsed="false">
      <c r="A9" s="7" t="n">
        <v>5</v>
      </c>
      <c r="B9" s="12" t="s">
        <v>96</v>
      </c>
      <c r="C9" s="9" t="s">
        <v>325</v>
      </c>
      <c r="D9" s="9" t="s">
        <v>326</v>
      </c>
      <c r="E9" s="9" t="s">
        <v>327</v>
      </c>
      <c r="F9" s="9" t="s">
        <v>328</v>
      </c>
      <c r="G9" s="9" t="s">
        <v>329</v>
      </c>
      <c r="H9" s="9" t="s">
        <v>102</v>
      </c>
      <c r="I9" s="9" t="s">
        <v>201</v>
      </c>
      <c r="J9" s="9" t="s">
        <v>32</v>
      </c>
      <c r="K9" s="9"/>
      <c r="L9" s="9"/>
      <c r="M9" s="9"/>
    </row>
    <row r="10" customFormat="false" ht="60" hidden="false" customHeight="true" outlineLevel="0" collapsed="false">
      <c r="A10" s="10" t="n">
        <v>6</v>
      </c>
      <c r="B10" s="12" t="s">
        <v>96</v>
      </c>
      <c r="C10" s="11" t="s">
        <v>330</v>
      </c>
      <c r="D10" s="11" t="s">
        <v>331</v>
      </c>
      <c r="E10" s="11" t="s">
        <v>236</v>
      </c>
      <c r="F10" s="11" t="s">
        <v>206</v>
      </c>
      <c r="G10" s="11" t="s">
        <v>332</v>
      </c>
      <c r="H10" s="11" t="s">
        <v>102</v>
      </c>
      <c r="I10" s="11" t="s">
        <v>103</v>
      </c>
      <c r="J10" s="11" t="s">
        <v>32</v>
      </c>
      <c r="K10" s="11"/>
      <c r="L10" s="11"/>
      <c r="M10" s="11"/>
    </row>
    <row r="11" customFormat="false" ht="60" hidden="false" customHeight="true" outlineLevel="0" collapsed="false">
      <c r="A11" s="7" t="n">
        <v>7</v>
      </c>
      <c r="B11" s="13" t="s">
        <v>121</v>
      </c>
      <c r="C11" s="9" t="s">
        <v>333</v>
      </c>
      <c r="D11" s="9" t="s">
        <v>334</v>
      </c>
      <c r="E11" s="9" t="s">
        <v>335</v>
      </c>
      <c r="F11" s="9" t="s">
        <v>336</v>
      </c>
      <c r="G11" s="9" t="s">
        <v>337</v>
      </c>
      <c r="H11" s="9" t="s">
        <v>127</v>
      </c>
      <c r="I11" s="9" t="s">
        <v>103</v>
      </c>
      <c r="J11" s="9" t="s">
        <v>32</v>
      </c>
      <c r="K11" s="9"/>
      <c r="L11" s="9"/>
      <c r="M11" s="9"/>
    </row>
    <row r="12" customFormat="false" ht="60" hidden="false" customHeight="true" outlineLevel="0" collapsed="false">
      <c r="A12" s="10" t="n">
        <v>8</v>
      </c>
      <c r="B12" s="13" t="s">
        <v>121</v>
      </c>
      <c r="C12" s="11" t="s">
        <v>338</v>
      </c>
      <c r="D12" s="11" t="s">
        <v>339</v>
      </c>
      <c r="E12" s="11" t="s">
        <v>340</v>
      </c>
      <c r="F12" s="11" t="s">
        <v>206</v>
      </c>
      <c r="G12" s="11" t="s">
        <v>341</v>
      </c>
      <c r="H12" s="11" t="s">
        <v>127</v>
      </c>
      <c r="I12" s="11" t="s">
        <v>103</v>
      </c>
      <c r="J12" s="11" t="s">
        <v>32</v>
      </c>
      <c r="K12" s="11"/>
      <c r="L12" s="11"/>
      <c r="M12" s="11"/>
    </row>
    <row r="13" customFormat="false" ht="60" hidden="false" customHeight="true" outlineLevel="0" collapsed="false">
      <c r="A13" s="7" t="n">
        <v>9</v>
      </c>
      <c r="B13" s="13" t="s">
        <v>121</v>
      </c>
      <c r="C13" s="9" t="s">
        <v>342</v>
      </c>
      <c r="D13" s="9" t="s">
        <v>343</v>
      </c>
      <c r="E13" s="9" t="s">
        <v>241</v>
      </c>
      <c r="F13" s="9" t="s">
        <v>296</v>
      </c>
      <c r="G13" s="9" t="s">
        <v>344</v>
      </c>
      <c r="H13" s="9" t="s">
        <v>127</v>
      </c>
      <c r="I13" s="9" t="s">
        <v>103</v>
      </c>
      <c r="J13" s="9" t="s">
        <v>32</v>
      </c>
      <c r="K13" s="9"/>
      <c r="L13" s="9"/>
      <c r="M13" s="9"/>
    </row>
    <row r="14" customFormat="false" ht="60" hidden="false" customHeight="true" outlineLevel="0" collapsed="false">
      <c r="A14" s="10" t="n">
        <v>10</v>
      </c>
      <c r="B14" s="13" t="s">
        <v>121</v>
      </c>
      <c r="C14" s="11" t="s">
        <v>345</v>
      </c>
      <c r="D14" s="11" t="s">
        <v>346</v>
      </c>
      <c r="E14" s="11" t="s">
        <v>347</v>
      </c>
      <c r="F14" s="11" t="s">
        <v>348</v>
      </c>
      <c r="G14" s="11" t="s">
        <v>349</v>
      </c>
      <c r="H14" s="11" t="s">
        <v>127</v>
      </c>
      <c r="I14" s="11" t="s">
        <v>103</v>
      </c>
      <c r="J14" s="11" t="s">
        <v>32</v>
      </c>
      <c r="K14" s="11"/>
      <c r="L14" s="11"/>
      <c r="M14" s="11"/>
    </row>
  </sheetData>
  <mergeCells count="2">
    <mergeCell ref="A1:M1"/>
    <mergeCell ref="A2:M2"/>
  </mergeCells>
  <dataValidations count="3">
    <dataValidation allowBlank="true" errorStyle="stop" operator="between" showDropDown="false" showErrorMessage="false" showInputMessage="false" sqref="J5:J14" type="list">
      <formula1>"New,Verified,Outreach Sent,Replied,Meeting Booked,Proposal Sent,Negotiating,Won,Lost,Nurture"</formula1>
      <formula2>0</formula2>
    </dataValidation>
    <dataValidation allowBlank="true" errorStyle="stop" operator="between" showDropDown="false" showErrorMessage="false" showInputMessage="false" sqref="H5:H14" type="list">
      <formula1>"Tier A — ₹10L+,Tier B — ₹3-10L,Tier C — ₹1-3L,Unknown"</formula1>
      <formula2>0</formula2>
    </dataValidation>
    <dataValidation allowBlank="true" errorStyle="stop" operator="between" showDropDown="false" showErrorMessage="false" showInputMessage="false" sqref="I5:I14" type="list">
      <formula1>"Email,WhatsApp,LinkedIn,Phone,In-Person,Multi-Channel"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7" min="2" style="0" width="18"/>
  </cols>
  <sheetData>
    <row r="1" customFormat="false" ht="19.7" hidden="false" customHeight="false" outlineLevel="0" collapsed="false">
      <c r="A1" s="1" t="s">
        <v>350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351</v>
      </c>
      <c r="B2" s="2"/>
      <c r="C2" s="2"/>
      <c r="D2" s="2"/>
      <c r="E2" s="2"/>
    </row>
    <row r="4" customFormat="false" ht="26.85" hidden="false" customHeight="false" outlineLevel="0" collapsed="false">
      <c r="A4" s="6" t="s">
        <v>71</v>
      </c>
      <c r="B4" s="6" t="s">
        <v>352</v>
      </c>
      <c r="C4" s="6" t="s">
        <v>353</v>
      </c>
      <c r="D4" s="6" t="s">
        <v>354</v>
      </c>
      <c r="E4" s="6" t="s">
        <v>355</v>
      </c>
      <c r="F4" s="6" t="s">
        <v>356</v>
      </c>
      <c r="G4" s="14" t="s">
        <v>357</v>
      </c>
    </row>
    <row r="5" customFormat="false" ht="15" hidden="false" customHeight="false" outlineLevel="0" collapsed="false">
      <c r="A5" s="15" t="s">
        <v>32</v>
      </c>
      <c r="B5" s="7" t="n">
        <f aca="false">COUNTIF('1. Ad Agencies'!J5:J14,"New")</f>
        <v>10</v>
      </c>
      <c r="C5" s="7" t="n">
        <f aca="false">COUNTIF('2. National Brands'!J5:J14,"New")</f>
        <v>10</v>
      </c>
      <c r="D5" s="7" t="n">
        <f aca="false">COUNTIF('3. Regional Brands'!J5:J14,"New")</f>
        <v>10</v>
      </c>
      <c r="E5" s="7" t="n">
        <f aca="false">COUNTIF('4. Hospitality &amp; Travel'!J5:J14,"New")</f>
        <v>10</v>
      </c>
      <c r="F5" s="7" t="n">
        <f aca="false">COUNTIF('5. Edu, Health, Real Estate'!J5:J14,"New")</f>
        <v>10</v>
      </c>
      <c r="G5" s="16" t="n">
        <f aca="false">SUM(B5:F5)</f>
        <v>50</v>
      </c>
    </row>
    <row r="6" customFormat="false" ht="15" hidden="false" customHeight="false" outlineLevel="0" collapsed="false">
      <c r="A6" s="17" t="s">
        <v>34</v>
      </c>
      <c r="B6" s="10" t="n">
        <f aca="false">COUNTIF('1. Ad Agencies'!J5:J14,"Verified")</f>
        <v>0</v>
      </c>
      <c r="C6" s="10" t="n">
        <f aca="false">COUNTIF('2. National Brands'!J5:J14,"Verified")</f>
        <v>0</v>
      </c>
      <c r="D6" s="10" t="n">
        <f aca="false">COUNTIF('3. Regional Brands'!J5:J14,"Verified")</f>
        <v>0</v>
      </c>
      <c r="E6" s="10" t="n">
        <f aca="false">COUNTIF('4. Hospitality &amp; Travel'!J5:J14,"Verified")</f>
        <v>0</v>
      </c>
      <c r="F6" s="10" t="n">
        <f aca="false">COUNTIF('5. Edu, Health, Real Estate'!J5:J14,"Verified")</f>
        <v>0</v>
      </c>
      <c r="G6" s="16" t="n">
        <f aca="false">SUM(B6:F6)</f>
        <v>0</v>
      </c>
    </row>
    <row r="7" customFormat="false" ht="15" hidden="false" customHeight="false" outlineLevel="0" collapsed="false">
      <c r="A7" s="15" t="s">
        <v>36</v>
      </c>
      <c r="B7" s="7" t="n">
        <f aca="false">COUNTIF('1. Ad Agencies'!J5:J14,"Outreach Sent")</f>
        <v>0</v>
      </c>
      <c r="C7" s="7" t="n">
        <f aca="false">COUNTIF('2. National Brands'!J5:J14,"Outreach Sent")</f>
        <v>0</v>
      </c>
      <c r="D7" s="7" t="n">
        <f aca="false">COUNTIF('3. Regional Brands'!J5:J14,"Outreach Sent")</f>
        <v>0</v>
      </c>
      <c r="E7" s="7" t="n">
        <f aca="false">COUNTIF('4. Hospitality &amp; Travel'!J5:J14,"Outreach Sent")</f>
        <v>0</v>
      </c>
      <c r="F7" s="7" t="n">
        <f aca="false">COUNTIF('5. Edu, Health, Real Estate'!J5:J14,"Outreach Sent")</f>
        <v>0</v>
      </c>
      <c r="G7" s="16" t="n">
        <f aca="false">SUM(B7:F7)</f>
        <v>0</v>
      </c>
    </row>
    <row r="8" customFormat="false" ht="15" hidden="false" customHeight="false" outlineLevel="0" collapsed="false">
      <c r="A8" s="17" t="s">
        <v>38</v>
      </c>
      <c r="B8" s="10" t="n">
        <f aca="false">COUNTIF('1. Ad Agencies'!J5:J14,"Replied")</f>
        <v>0</v>
      </c>
      <c r="C8" s="10" t="n">
        <f aca="false">COUNTIF('2. National Brands'!J5:J14,"Replied")</f>
        <v>0</v>
      </c>
      <c r="D8" s="10" t="n">
        <f aca="false">COUNTIF('3. Regional Brands'!J5:J14,"Replied")</f>
        <v>0</v>
      </c>
      <c r="E8" s="10" t="n">
        <f aca="false">COUNTIF('4. Hospitality &amp; Travel'!J5:J14,"Replied")</f>
        <v>0</v>
      </c>
      <c r="F8" s="10" t="n">
        <f aca="false">COUNTIF('5. Edu, Health, Real Estate'!J5:J14,"Replied")</f>
        <v>0</v>
      </c>
      <c r="G8" s="16" t="n">
        <f aca="false">SUM(B8:F8)</f>
        <v>0</v>
      </c>
    </row>
    <row r="9" customFormat="false" ht="15" hidden="false" customHeight="false" outlineLevel="0" collapsed="false">
      <c r="A9" s="15" t="s">
        <v>40</v>
      </c>
      <c r="B9" s="7" t="n">
        <f aca="false">COUNTIF('1. Ad Agencies'!J5:J14,"Meeting Booked")</f>
        <v>0</v>
      </c>
      <c r="C9" s="7" t="n">
        <f aca="false">COUNTIF('2. National Brands'!J5:J14,"Meeting Booked")</f>
        <v>0</v>
      </c>
      <c r="D9" s="7" t="n">
        <f aca="false">COUNTIF('3. Regional Brands'!J5:J14,"Meeting Booked")</f>
        <v>0</v>
      </c>
      <c r="E9" s="7" t="n">
        <f aca="false">COUNTIF('4. Hospitality &amp; Travel'!J5:J14,"Meeting Booked")</f>
        <v>0</v>
      </c>
      <c r="F9" s="7" t="n">
        <f aca="false">COUNTIF('5. Edu, Health, Real Estate'!J5:J14,"Meeting Booked")</f>
        <v>0</v>
      </c>
      <c r="G9" s="16" t="n">
        <f aca="false">SUM(B9:F9)</f>
        <v>0</v>
      </c>
    </row>
    <row r="10" customFormat="false" ht="15" hidden="false" customHeight="false" outlineLevel="0" collapsed="false">
      <c r="A10" s="17" t="s">
        <v>42</v>
      </c>
      <c r="B10" s="10" t="n">
        <f aca="false">COUNTIF('1. Ad Agencies'!J5:J14,"Proposal Sent")</f>
        <v>0</v>
      </c>
      <c r="C10" s="10" t="n">
        <f aca="false">COUNTIF('2. National Brands'!J5:J14,"Proposal Sent")</f>
        <v>0</v>
      </c>
      <c r="D10" s="10" t="n">
        <f aca="false">COUNTIF('3. Regional Brands'!J5:J14,"Proposal Sent")</f>
        <v>0</v>
      </c>
      <c r="E10" s="10" t="n">
        <f aca="false">COUNTIF('4. Hospitality &amp; Travel'!J5:J14,"Proposal Sent")</f>
        <v>0</v>
      </c>
      <c r="F10" s="10" t="n">
        <f aca="false">COUNTIF('5. Edu, Health, Real Estate'!J5:J14,"Proposal Sent")</f>
        <v>0</v>
      </c>
      <c r="G10" s="16" t="n">
        <f aca="false">SUM(B10:F10)</f>
        <v>0</v>
      </c>
    </row>
    <row r="11" customFormat="false" ht="15" hidden="false" customHeight="false" outlineLevel="0" collapsed="false">
      <c r="A11" s="15" t="s">
        <v>44</v>
      </c>
      <c r="B11" s="7" t="n">
        <f aca="false">COUNTIF('1. Ad Agencies'!J5:J14,"Negotiating")</f>
        <v>0</v>
      </c>
      <c r="C11" s="7" t="n">
        <f aca="false">COUNTIF('2. National Brands'!J5:J14,"Negotiating")</f>
        <v>0</v>
      </c>
      <c r="D11" s="7" t="n">
        <f aca="false">COUNTIF('3. Regional Brands'!J5:J14,"Negotiating")</f>
        <v>0</v>
      </c>
      <c r="E11" s="7" t="n">
        <f aca="false">COUNTIF('4. Hospitality &amp; Travel'!J5:J14,"Negotiating")</f>
        <v>0</v>
      </c>
      <c r="F11" s="7" t="n">
        <f aca="false">COUNTIF('5. Edu, Health, Real Estate'!J5:J14,"Negotiating")</f>
        <v>0</v>
      </c>
      <c r="G11" s="16" t="n">
        <f aca="false">SUM(B11:F11)</f>
        <v>0</v>
      </c>
    </row>
    <row r="12" customFormat="false" ht="15" hidden="false" customHeight="false" outlineLevel="0" collapsed="false">
      <c r="A12" s="17" t="s">
        <v>46</v>
      </c>
      <c r="B12" s="10" t="n">
        <f aca="false">COUNTIF('1. Ad Agencies'!J5:J14,"Won")</f>
        <v>0</v>
      </c>
      <c r="C12" s="10" t="n">
        <f aca="false">COUNTIF('2. National Brands'!J5:J14,"Won")</f>
        <v>0</v>
      </c>
      <c r="D12" s="10" t="n">
        <f aca="false">COUNTIF('3. Regional Brands'!J5:J14,"Won")</f>
        <v>0</v>
      </c>
      <c r="E12" s="10" t="n">
        <f aca="false">COUNTIF('4. Hospitality &amp; Travel'!J5:J14,"Won")</f>
        <v>0</v>
      </c>
      <c r="F12" s="10" t="n">
        <f aca="false">COUNTIF('5. Edu, Health, Real Estate'!J5:J14,"Won")</f>
        <v>0</v>
      </c>
      <c r="G12" s="16" t="n">
        <f aca="false">SUM(B12:F12)</f>
        <v>0</v>
      </c>
    </row>
    <row r="13" customFormat="false" ht="15" hidden="false" customHeight="false" outlineLevel="0" collapsed="false">
      <c r="A13" s="15" t="s">
        <v>48</v>
      </c>
      <c r="B13" s="7" t="n">
        <f aca="false">COUNTIF('1. Ad Agencies'!J5:J14,"Lost")</f>
        <v>0</v>
      </c>
      <c r="C13" s="7" t="n">
        <f aca="false">COUNTIF('2. National Brands'!J5:J14,"Lost")</f>
        <v>0</v>
      </c>
      <c r="D13" s="7" t="n">
        <f aca="false">COUNTIF('3. Regional Brands'!J5:J14,"Lost")</f>
        <v>0</v>
      </c>
      <c r="E13" s="7" t="n">
        <f aca="false">COUNTIF('4. Hospitality &amp; Travel'!J5:J14,"Lost")</f>
        <v>0</v>
      </c>
      <c r="F13" s="7" t="n">
        <f aca="false">COUNTIF('5. Edu, Health, Real Estate'!J5:J14,"Lost")</f>
        <v>0</v>
      </c>
      <c r="G13" s="16" t="n">
        <f aca="false">SUM(B13:F13)</f>
        <v>0</v>
      </c>
    </row>
    <row r="14" customFormat="false" ht="15" hidden="false" customHeight="false" outlineLevel="0" collapsed="false">
      <c r="A14" s="17" t="s">
        <v>50</v>
      </c>
      <c r="B14" s="10" t="n">
        <f aca="false">COUNTIF('1. Ad Agencies'!J5:J14,"Nurture")</f>
        <v>0</v>
      </c>
      <c r="C14" s="10" t="n">
        <f aca="false">COUNTIF('2. National Brands'!J5:J14,"Nurture")</f>
        <v>0</v>
      </c>
      <c r="D14" s="10" t="n">
        <f aca="false">COUNTIF('3. Regional Brands'!J5:J14,"Nurture")</f>
        <v>0</v>
      </c>
      <c r="E14" s="10" t="n">
        <f aca="false">COUNTIF('4. Hospitality &amp; Travel'!J5:J14,"Nurture")</f>
        <v>0</v>
      </c>
      <c r="F14" s="10" t="n">
        <f aca="false">COUNTIF('5. Edu, Health, Real Estate'!J5:J14,"Nurture")</f>
        <v>0</v>
      </c>
      <c r="G14" s="16" t="n">
        <f aca="false">SUM(B14:F14)</f>
        <v>0</v>
      </c>
    </row>
    <row r="15" customFormat="false" ht="15" hidden="false" customHeight="false" outlineLevel="0" collapsed="false">
      <c r="A15" s="14" t="s">
        <v>357</v>
      </c>
      <c r="B15" s="14" t="n">
        <f aca="false">SUM(B5:B14)</f>
        <v>10</v>
      </c>
      <c r="C15" s="14" t="n">
        <f aca="false">SUM(C5:C14)</f>
        <v>10</v>
      </c>
      <c r="D15" s="14" t="n">
        <f aca="false">SUM(D5:D14)</f>
        <v>10</v>
      </c>
      <c r="E15" s="14" t="n">
        <f aca="false">SUM(E5:E14)</f>
        <v>10</v>
      </c>
      <c r="F15" s="14" t="n">
        <f aca="false">SUM(F5:F14)</f>
        <v>10</v>
      </c>
      <c r="G15" s="14" t="n">
        <f aca="false">SUM(G5:G14)</f>
        <v>50</v>
      </c>
    </row>
    <row r="18" customFormat="false" ht="15" hidden="false" customHeight="false" outlineLevel="0" collapsed="false">
      <c r="A18" s="18" t="s">
        <v>358</v>
      </c>
    </row>
    <row r="19" customFormat="false" ht="15" hidden="false" customHeight="false" outlineLevel="0" collapsed="false">
      <c r="A19" s="15" t="s">
        <v>359</v>
      </c>
      <c r="B19" s="19" t="n">
        <f aca="false">SUM(B5:F14)</f>
        <v>50</v>
      </c>
    </row>
    <row r="20" customFormat="false" ht="15" hidden="false" customHeight="false" outlineLevel="0" collapsed="false">
      <c r="A20" s="15" t="s">
        <v>360</v>
      </c>
      <c r="B20" s="19" t="n">
        <f aca="false">B5+C5+D5+E5+F5</f>
        <v>50</v>
      </c>
    </row>
    <row r="21" customFormat="false" ht="23.85" hidden="false" customHeight="false" outlineLevel="0" collapsed="false">
      <c r="A21" s="15" t="s">
        <v>361</v>
      </c>
      <c r="B21" s="19" t="n">
        <f aca="false">SUM(B8:F11)</f>
        <v>0</v>
      </c>
    </row>
    <row r="22" customFormat="false" ht="15" hidden="false" customHeight="false" outlineLevel="0" collapsed="false">
      <c r="A22" s="15" t="s">
        <v>362</v>
      </c>
      <c r="B22" s="19" t="n">
        <f aca="false">SUM(B12:F12)</f>
        <v>0</v>
      </c>
    </row>
    <row r="23" customFormat="false" ht="15" hidden="false" customHeight="false" outlineLevel="0" collapsed="false">
      <c r="A23" s="15" t="s">
        <v>363</v>
      </c>
      <c r="B23" s="19" t="n">
        <f aca="false">SUM(B13:F13)</f>
        <v>0</v>
      </c>
    </row>
    <row r="24" customFormat="false" ht="15" hidden="false" customHeight="false" outlineLevel="0" collapsed="false">
      <c r="A24" s="15" t="s">
        <v>364</v>
      </c>
      <c r="B24" s="20" t="n">
        <f aca="false">IF(SUM(B7:F7)+SUM(B8:F8)+SUM(B9:F9)+SUM(B10:F10)+SUM(B11:F11)+SUM(B12:F12)+SUM(B13:F13)=0,0,(SUM(B8:F8)+SUM(B9:F9)+SUM(B10:F10)+SUM(B11:F11)+SUM(B12:F12)+SUM(B13:F13))/(SUM(B7:F7)+SUM(B8:F8)+SUM(B9:F9)+SUM(B10:F10)+SUM(B11:F11)+SUM(B12:F12)+SUM(B13:F13)))</f>
        <v>0</v>
      </c>
    </row>
    <row r="25" customFormat="false" ht="15" hidden="false" customHeight="false" outlineLevel="0" collapsed="false">
      <c r="A25" s="15" t="s">
        <v>365</v>
      </c>
      <c r="B25" s="20" t="n">
        <f aca="false">IF(SUM(B12:F12)+SUM(B13:F13)=0,0,SUM(B12:F12)/(SUM(B12:F12)+SUM(B13:F13)))</f>
        <v>0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40"/>
    <col collapsed="false" customWidth="true" hidden="false" outlineLevel="0" max="5" min="5" style="0" width="8"/>
    <col collapsed="false" customWidth="true" hidden="false" outlineLevel="0" max="6" min="6" style="0" width="25"/>
  </cols>
  <sheetData>
    <row r="1" customFormat="false" ht="19.7" hidden="false" customHeight="false" outlineLevel="0" collapsed="false">
      <c r="A1" s="1" t="s">
        <v>366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367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6" t="s">
        <v>63</v>
      </c>
      <c r="B4" s="6" t="s">
        <v>368</v>
      </c>
      <c r="C4" s="6" t="s">
        <v>64</v>
      </c>
      <c r="D4" s="6" t="s">
        <v>369</v>
      </c>
      <c r="E4" s="6" t="s">
        <v>5</v>
      </c>
      <c r="F4" s="6" t="s">
        <v>370</v>
      </c>
    </row>
    <row r="5" customFormat="false" ht="15" hidden="false" customHeight="false" outlineLevel="0" collapsed="false">
      <c r="A5" s="7" t="n">
        <v>1</v>
      </c>
      <c r="B5" s="7" t="s">
        <v>371</v>
      </c>
      <c r="C5" s="9" t="s">
        <v>372</v>
      </c>
      <c r="D5" s="9" t="s">
        <v>373</v>
      </c>
      <c r="E5" s="9" t="s">
        <v>96</v>
      </c>
      <c r="F5" s="9"/>
    </row>
    <row r="6" customFormat="false" ht="15" hidden="false" customHeight="false" outlineLevel="0" collapsed="false">
      <c r="A6" s="10" t="n">
        <v>2</v>
      </c>
      <c r="B6" s="10" t="s">
        <v>371</v>
      </c>
      <c r="C6" s="11" t="s">
        <v>374</v>
      </c>
      <c r="D6" s="11" t="s">
        <v>375</v>
      </c>
      <c r="E6" s="11" t="s">
        <v>96</v>
      </c>
      <c r="F6" s="11"/>
    </row>
    <row r="7" customFormat="false" ht="15" hidden="false" customHeight="false" outlineLevel="0" collapsed="false">
      <c r="A7" s="7" t="n">
        <v>3</v>
      </c>
      <c r="B7" s="7" t="s">
        <v>371</v>
      </c>
      <c r="C7" s="9" t="s">
        <v>376</v>
      </c>
      <c r="D7" s="9" t="s">
        <v>377</v>
      </c>
      <c r="E7" s="9" t="s">
        <v>121</v>
      </c>
      <c r="F7" s="9"/>
    </row>
    <row r="8" customFormat="false" ht="15" hidden="false" customHeight="false" outlineLevel="0" collapsed="false">
      <c r="A8" s="10" t="n">
        <v>4</v>
      </c>
      <c r="B8" s="10" t="s">
        <v>371</v>
      </c>
      <c r="C8" s="11" t="s">
        <v>378</v>
      </c>
      <c r="D8" s="11" t="s">
        <v>379</v>
      </c>
      <c r="E8" s="11" t="s">
        <v>121</v>
      </c>
      <c r="F8" s="11"/>
    </row>
    <row r="9" customFormat="false" ht="15" hidden="false" customHeight="false" outlineLevel="0" collapsed="false">
      <c r="A9" s="7" t="n">
        <v>5</v>
      </c>
      <c r="B9" s="7" t="s">
        <v>371</v>
      </c>
      <c r="C9" s="9" t="s">
        <v>380</v>
      </c>
      <c r="D9" s="9" t="s">
        <v>381</v>
      </c>
      <c r="E9" s="9" t="s">
        <v>121</v>
      </c>
      <c r="F9" s="9"/>
    </row>
    <row r="10" customFormat="false" ht="15" hidden="false" customHeight="false" outlineLevel="0" collapsed="false">
      <c r="A10" s="10" t="n">
        <v>6</v>
      </c>
      <c r="B10" s="10" t="s">
        <v>382</v>
      </c>
      <c r="C10" s="11" t="s">
        <v>383</v>
      </c>
      <c r="D10" s="11" t="s">
        <v>384</v>
      </c>
      <c r="E10" s="11" t="s">
        <v>96</v>
      </c>
      <c r="F10" s="11"/>
    </row>
    <row r="11" customFormat="false" ht="15" hidden="false" customHeight="false" outlineLevel="0" collapsed="false">
      <c r="A11" s="7" t="n">
        <v>7</v>
      </c>
      <c r="B11" s="7" t="s">
        <v>382</v>
      </c>
      <c r="C11" s="9" t="s">
        <v>385</v>
      </c>
      <c r="D11" s="9" t="s">
        <v>386</v>
      </c>
      <c r="E11" s="9" t="s">
        <v>96</v>
      </c>
      <c r="F11" s="9"/>
    </row>
    <row r="12" customFormat="false" ht="15" hidden="false" customHeight="false" outlineLevel="0" collapsed="false">
      <c r="A12" s="10" t="n">
        <v>8</v>
      </c>
      <c r="B12" s="10" t="s">
        <v>382</v>
      </c>
      <c r="C12" s="11" t="s">
        <v>387</v>
      </c>
      <c r="D12" s="11" t="s">
        <v>388</v>
      </c>
      <c r="E12" s="11" t="s">
        <v>96</v>
      </c>
      <c r="F12" s="11"/>
    </row>
    <row r="13" customFormat="false" ht="15" hidden="false" customHeight="false" outlineLevel="0" collapsed="false">
      <c r="A13" s="7" t="n">
        <v>9</v>
      </c>
      <c r="B13" s="7" t="s">
        <v>382</v>
      </c>
      <c r="C13" s="9" t="s">
        <v>389</v>
      </c>
      <c r="D13" s="9" t="s">
        <v>390</v>
      </c>
      <c r="E13" s="9" t="s">
        <v>96</v>
      </c>
      <c r="F13" s="9"/>
    </row>
    <row r="14" customFormat="false" ht="15" hidden="false" customHeight="false" outlineLevel="0" collapsed="false">
      <c r="A14" s="10" t="n">
        <v>10</v>
      </c>
      <c r="B14" s="10" t="s">
        <v>382</v>
      </c>
      <c r="C14" s="11" t="s">
        <v>391</v>
      </c>
      <c r="D14" s="11" t="s">
        <v>392</v>
      </c>
      <c r="E14" s="11" t="s">
        <v>75</v>
      </c>
      <c r="F14" s="11" t="s">
        <v>393</v>
      </c>
    </row>
    <row r="15" customFormat="false" ht="15" hidden="false" customHeight="false" outlineLevel="0" collapsed="false">
      <c r="A15" s="7" t="n">
        <v>11</v>
      </c>
      <c r="B15" s="7" t="s">
        <v>382</v>
      </c>
      <c r="C15" s="9" t="s">
        <v>394</v>
      </c>
      <c r="D15" s="9" t="s">
        <v>395</v>
      </c>
      <c r="E15" s="9" t="s">
        <v>121</v>
      </c>
      <c r="F15" s="9"/>
    </row>
    <row r="16" customFormat="false" ht="15" hidden="false" customHeight="false" outlineLevel="0" collapsed="false">
      <c r="A16" s="10" t="n">
        <v>12</v>
      </c>
      <c r="B16" s="10" t="s">
        <v>382</v>
      </c>
      <c r="C16" s="11" t="s">
        <v>396</v>
      </c>
      <c r="D16" s="11" t="s">
        <v>397</v>
      </c>
      <c r="E16" s="11" t="s">
        <v>96</v>
      </c>
      <c r="F16" s="11"/>
    </row>
    <row r="17" customFormat="false" ht="23.85" hidden="false" customHeight="false" outlineLevel="0" collapsed="false">
      <c r="A17" s="7" t="n">
        <v>13</v>
      </c>
      <c r="B17" s="7" t="s">
        <v>398</v>
      </c>
      <c r="C17" s="9" t="s">
        <v>399</v>
      </c>
      <c r="D17" s="9" t="s">
        <v>400</v>
      </c>
      <c r="E17" s="9" t="s">
        <v>121</v>
      </c>
      <c r="F17" s="9"/>
    </row>
    <row r="18" customFormat="false" ht="15" hidden="false" customHeight="false" outlineLevel="0" collapsed="false">
      <c r="A18" s="10" t="n">
        <v>14</v>
      </c>
      <c r="B18" s="10" t="s">
        <v>398</v>
      </c>
      <c r="C18" s="11" t="s">
        <v>401</v>
      </c>
      <c r="D18" s="11" t="s">
        <v>402</v>
      </c>
      <c r="E18" s="11" t="s">
        <v>96</v>
      </c>
      <c r="F18" s="11"/>
    </row>
    <row r="19" customFormat="false" ht="15" hidden="false" customHeight="false" outlineLevel="0" collapsed="false">
      <c r="A19" s="7" t="n">
        <v>15</v>
      </c>
      <c r="B19" s="7" t="s">
        <v>398</v>
      </c>
      <c r="C19" s="9" t="s">
        <v>403</v>
      </c>
      <c r="D19" s="9" t="s">
        <v>404</v>
      </c>
      <c r="E19" s="9" t="s">
        <v>121</v>
      </c>
      <c r="F19" s="9"/>
    </row>
    <row r="20" customFormat="false" ht="15" hidden="false" customHeight="false" outlineLevel="0" collapsed="false">
      <c r="A20" s="10" t="n">
        <v>16</v>
      </c>
      <c r="B20" s="10" t="s">
        <v>398</v>
      </c>
      <c r="C20" s="11" t="s">
        <v>405</v>
      </c>
      <c r="D20" s="11" t="s">
        <v>406</v>
      </c>
      <c r="E20" s="11" t="s">
        <v>121</v>
      </c>
      <c r="F20" s="11"/>
    </row>
    <row r="21" customFormat="false" ht="15" hidden="false" customHeight="false" outlineLevel="0" collapsed="false">
      <c r="A21" s="7" t="n">
        <v>17</v>
      </c>
      <c r="B21" s="7" t="s">
        <v>398</v>
      </c>
      <c r="C21" s="9" t="s">
        <v>407</v>
      </c>
      <c r="D21" s="9" t="s">
        <v>408</v>
      </c>
      <c r="E21" s="9" t="s">
        <v>121</v>
      </c>
      <c r="F21" s="9"/>
    </row>
    <row r="22" customFormat="false" ht="15" hidden="false" customHeight="false" outlineLevel="0" collapsed="false">
      <c r="A22" s="10" t="n">
        <v>18</v>
      </c>
      <c r="B22" s="10" t="s">
        <v>409</v>
      </c>
      <c r="C22" s="11" t="s">
        <v>410</v>
      </c>
      <c r="D22" s="11" t="s">
        <v>411</v>
      </c>
      <c r="E22" s="11" t="s">
        <v>96</v>
      </c>
      <c r="F22" s="11"/>
    </row>
    <row r="23" customFormat="false" ht="15" hidden="false" customHeight="false" outlineLevel="0" collapsed="false">
      <c r="A23" s="7" t="n">
        <v>19</v>
      </c>
      <c r="B23" s="7" t="s">
        <v>409</v>
      </c>
      <c r="C23" s="9" t="s">
        <v>412</v>
      </c>
      <c r="D23" s="9" t="s">
        <v>413</v>
      </c>
      <c r="E23" s="9" t="s">
        <v>96</v>
      </c>
      <c r="F23" s="9"/>
    </row>
    <row r="24" customFormat="false" ht="15" hidden="false" customHeight="false" outlineLevel="0" collapsed="false">
      <c r="A24" s="10" t="n">
        <v>20</v>
      </c>
      <c r="B24" s="10" t="s">
        <v>409</v>
      </c>
      <c r="C24" s="11" t="s">
        <v>414</v>
      </c>
      <c r="D24" s="11" t="s">
        <v>415</v>
      </c>
      <c r="E24" s="11" t="s">
        <v>121</v>
      </c>
      <c r="F24" s="11"/>
    </row>
    <row r="25" customFormat="false" ht="15" hidden="false" customHeight="false" outlineLevel="0" collapsed="false">
      <c r="A25" s="7" t="n">
        <v>21</v>
      </c>
      <c r="B25" s="7" t="s">
        <v>409</v>
      </c>
      <c r="C25" s="9" t="s">
        <v>416</v>
      </c>
      <c r="D25" s="9" t="s">
        <v>417</v>
      </c>
      <c r="E25" s="9" t="s">
        <v>121</v>
      </c>
      <c r="F25" s="9"/>
    </row>
    <row r="26" customFormat="false" ht="15" hidden="false" customHeight="false" outlineLevel="0" collapsed="false">
      <c r="A26" s="10" t="n">
        <v>22</v>
      </c>
      <c r="B26" s="10" t="s">
        <v>418</v>
      </c>
      <c r="C26" s="11" t="s">
        <v>419</v>
      </c>
      <c r="D26" s="11" t="s">
        <v>420</v>
      </c>
      <c r="E26" s="11" t="s">
        <v>96</v>
      </c>
      <c r="F26" s="11"/>
    </row>
    <row r="27" customFormat="false" ht="15" hidden="false" customHeight="false" outlineLevel="0" collapsed="false">
      <c r="A27" s="7" t="n">
        <v>23</v>
      </c>
      <c r="B27" s="7" t="s">
        <v>418</v>
      </c>
      <c r="C27" s="9" t="s">
        <v>421</v>
      </c>
      <c r="D27" s="9" t="s">
        <v>422</v>
      </c>
      <c r="E27" s="9" t="s">
        <v>96</v>
      </c>
      <c r="F27" s="9"/>
    </row>
    <row r="28" customFormat="false" ht="15" hidden="false" customHeight="false" outlineLevel="0" collapsed="false">
      <c r="A28" s="10" t="n">
        <v>24</v>
      </c>
      <c r="B28" s="10" t="s">
        <v>418</v>
      </c>
      <c r="C28" s="11" t="s">
        <v>423</v>
      </c>
      <c r="D28" s="11" t="s">
        <v>424</v>
      </c>
      <c r="E28" s="11" t="s">
        <v>121</v>
      </c>
      <c r="F28" s="11"/>
    </row>
    <row r="29" customFormat="false" ht="15" hidden="false" customHeight="false" outlineLevel="0" collapsed="false">
      <c r="A29" s="7" t="n">
        <v>25</v>
      </c>
      <c r="B29" s="7" t="s">
        <v>425</v>
      </c>
      <c r="C29" s="9" t="s">
        <v>426</v>
      </c>
      <c r="D29" s="9" t="s">
        <v>427</v>
      </c>
      <c r="E29" s="9" t="s">
        <v>96</v>
      </c>
      <c r="F29" s="9" t="s">
        <v>428</v>
      </c>
    </row>
    <row r="30" customFormat="false" ht="15" hidden="false" customHeight="false" outlineLevel="0" collapsed="false">
      <c r="A30" s="10" t="n">
        <v>26</v>
      </c>
      <c r="B30" s="10" t="s">
        <v>425</v>
      </c>
      <c r="C30" s="11" t="s">
        <v>429</v>
      </c>
      <c r="D30" s="11" t="s">
        <v>430</v>
      </c>
      <c r="E30" s="11" t="s">
        <v>121</v>
      </c>
      <c r="F30" s="11"/>
    </row>
    <row r="31" customFormat="false" ht="15" hidden="false" customHeight="false" outlineLevel="0" collapsed="false">
      <c r="A31" s="7" t="n">
        <v>27</v>
      </c>
      <c r="B31" s="7" t="s">
        <v>431</v>
      </c>
      <c r="C31" s="9" t="s">
        <v>432</v>
      </c>
      <c r="D31" s="9" t="s">
        <v>433</v>
      </c>
      <c r="E31" s="9" t="s">
        <v>96</v>
      </c>
      <c r="F31" s="9"/>
    </row>
    <row r="32" customFormat="false" ht="15" hidden="false" customHeight="false" outlineLevel="0" collapsed="false">
      <c r="A32" s="10" t="n">
        <v>28</v>
      </c>
      <c r="B32" s="10" t="s">
        <v>431</v>
      </c>
      <c r="C32" s="11" t="s">
        <v>434</v>
      </c>
      <c r="D32" s="11" t="s">
        <v>435</v>
      </c>
      <c r="E32" s="11" t="s">
        <v>121</v>
      </c>
      <c r="F32" s="11"/>
    </row>
    <row r="33" customFormat="false" ht="15" hidden="false" customHeight="false" outlineLevel="0" collapsed="false">
      <c r="A33" s="7" t="n">
        <v>29</v>
      </c>
      <c r="B33" s="7" t="s">
        <v>436</v>
      </c>
      <c r="C33" s="9" t="s">
        <v>437</v>
      </c>
      <c r="D33" s="9" t="s">
        <v>438</v>
      </c>
      <c r="E33" s="9" t="s">
        <v>96</v>
      </c>
      <c r="F33" s="9"/>
    </row>
    <row r="34" customFormat="false" ht="15" hidden="false" customHeight="false" outlineLevel="0" collapsed="false">
      <c r="A34" s="10" t="n">
        <v>30</v>
      </c>
      <c r="B34" s="10" t="s">
        <v>436</v>
      </c>
      <c r="C34" s="11" t="s">
        <v>439</v>
      </c>
      <c r="D34" s="11" t="s">
        <v>440</v>
      </c>
      <c r="E34" s="11" t="s">
        <v>121</v>
      </c>
      <c r="F34" s="11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2026-05-10T17:27:03Z</dcterms:created>
  <dc:creator>openpyxl</dc:creator>
  <dc:description/>
  <dc:language>en-US</dc:language>
  <cp:lastModifiedBy/>
  <dcterms:modified xsi:type="dcterms:W3CDTF">2026-05-10T17:27:03Z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